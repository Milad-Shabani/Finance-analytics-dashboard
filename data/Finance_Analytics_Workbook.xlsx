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README" sheetId="2" state="visible" r:id="rId4"/>
    <sheet name="Revenue_By_Segment" sheetId="3" state="visible" r:id="rId5"/>
    <sheet name="PnL" sheetId="4" state="visible" r:id="rId6"/>
    <sheet name="Balance_Sheet" sheetId="5" state="visible" r:id="rId7"/>
    <sheet name="Cash_Flow" sheetId="6" state="visible" r:id="rId8"/>
    <sheet name="Capex_Projects" sheetId="7" state="visible" r:id="rId9"/>
    <sheet name="Debt_Schedule" sheetId="8" state="visible" r:id="rId10"/>
    <sheet name="Budget_vs_Actual" sheetId="9" state="visible" r:id="rId11"/>
    <sheet name="Customer_Economics" sheetId="10" state="visible" r:id="rId12"/>
    <sheet name="Revenue_EBITDA_Forecast" sheetId="11" state="visible" r:id="rId13"/>
    <sheet name="Cashflow_Forecast" sheetId="12" state="visible" r:id="rId14"/>
    <sheet name="Capex_Plan" sheetId="13" state="visible" r:id="rId15"/>
    <sheet name="Budget_Risk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<sst xmlns="http://schemas.openxmlformats.org/spreadsheetml/2006/main" count="4325" uniqueCount="546">
  <si>
    <t xml:space="preserve">TelNova Communications - Finance KPI Dashboard (Live)</t>
  </si>
  <si>
    <t xml:space="preserve">All figures below are Excel formulas referencing tbl_PnL / tbl_BalanceSheet / tbl_CashFlow / tbl_Debt / tbl_Capex -- change the raw data and these recalculate automatically.</t>
  </si>
  <si>
    <t xml:space="preserve">PROFITABILITY &amp; BALANCE SHEET</t>
  </si>
  <si>
    <t xml:space="preserve">CAPITAL, DEBT &amp; UNIT ECONOMICS</t>
  </si>
  <si>
    <t xml:space="preserve">Latest Monthly Revenue (USD)</t>
  </si>
  <si>
    <t xml:space="preserve">Total Capex, Trailing 12mo (USD)</t>
  </si>
  <si>
    <t xml:space="preserve">Annualized Revenue Run-Rate</t>
  </si>
  <si>
    <t xml:space="preserve">Capex Intensity (Capex / Revenue, TTM)</t>
  </si>
  <si>
    <t xml:space="preserve">Latest EBITDA Margin</t>
  </si>
  <si>
    <t xml:space="preserve">Free Cash Flow, Latest Month (USD)</t>
  </si>
  <si>
    <t xml:space="preserve">Latest Net Margin</t>
  </si>
  <si>
    <t xml:space="preserve">Avg. Interest Rate Across Tranches</t>
  </si>
  <si>
    <t xml:space="preserve">Trailing 12mo Avg EBITDA Margin</t>
  </si>
  <si>
    <t xml:space="preserve">Total Outstanding Debt (latest month)</t>
  </si>
  <si>
    <t xml:space="preserve">Total Assets (latest)</t>
  </si>
  <si>
    <t xml:space="preserve">Avg. Monthly Budget Variance (24mo)</t>
  </si>
  <si>
    <t xml:space="preserve">Cash &amp; Equivalents (latest)</t>
  </si>
  <si>
    <t xml:space="preserve">Total Budgeted Spend (24mo, USD)</t>
  </si>
  <si>
    <t xml:space="preserve">Total Debt (latest)</t>
  </si>
  <si>
    <t xml:space="preserve">Total Actual Spend (24mo, USD)</t>
  </si>
  <si>
    <t xml:space="preserve">Net Debt / EBITDA (annualized)</t>
  </si>
  <si>
    <t xml:space="preserve">Blended LTV:CAC Ratio (avg. across segments)</t>
  </si>
  <si>
    <t xml:space="preserve">Current Ratio (latest)</t>
  </si>
  <si>
    <t xml:space="preserve">Avg. Payback Period (months, across segments)</t>
  </si>
  <si>
    <t xml:space="preserve">Forecast, capital-plan and budget-risk figures live on their own sheets (Revenue_EBITDA_Forecast, Cashflow_Forecast, Capex_Plan, Budget_Risk) because they are statistical model output, not raw-data formulas.</t>
  </si>
  <si>
    <t xml:space="preserve">TelNova Communications - Finance Analytics</t>
  </si>
  <si>
    <t xml:space="preserve">Synthetic dataset generated for portfolio / demonstration purposes  |  Author: Milad Shabani</t>
  </si>
  <si>
    <t xml:space="preserve">Company profile</t>
  </si>
  <si>
    <t xml:space="preserve">Fictional converged telecom/ISP operator (same company as the companion HR Analytics project). ~1,047,500 subscribers, ~$255M annualized revenue, ~38% EBITDA margin.</t>
  </si>
  <si>
    <t xml:space="preserve">Data status</t>
  </si>
  <si>
    <t xml:space="preserve">100% synthetically generated with a fixed random seed (reproducible). No real company's financials are represented.</t>
  </si>
  <si>
    <t xml:space="preserve">3-statement consistency</t>
  </si>
  <si>
    <t xml:space="preserve">The Balance Sheet is built together with the Cash Flow Statement in a single pass so it balances EXACTLY (Assets = Liabilities + Equity, to the penny) -- cash is the model's plug, tied out through the cash flow statement, which is standard 3-statement-model practice.</t>
  </si>
  <si>
    <t xml:space="preserve">Sheets - raw data</t>
  </si>
  <si>
    <t xml:space="preserve">Revenue_By_Segment, PnL, Balance_Sheet, Cash_Flow, Capex_Projects, Debt_Schedule, Budget_vs_Actual, Customer_Economics -- native Excel Tables, safe to filter/pivot directly.</t>
  </si>
  <si>
    <t xml:space="preserve">Sheets - forecast</t>
  </si>
  <si>
    <t xml:space="preserve">Revenue_EBITDA_Forecast, Cashflow_Forecast, Capex_Plan: 12-month forward-looking financial plan. Methodology documented on each sheet.</t>
  </si>
  <si>
    <t xml:space="preserve">Sheets - risk model</t>
  </si>
  <si>
    <t xml:space="preserve">Budget_Risk: an explainable weighted-factor model scoring every cost center 0-100 on continued budget-overrun risk. Methodology documented on the sheet.</t>
  </si>
  <si>
    <t xml:space="preserve">Sheets - KPIs</t>
  </si>
  <si>
    <t xml:space="preserve">KPI_Dashboard: headline metrics computed with live SUM / AVERAGE / SUMIFS formulas referencing the raw data tables.</t>
  </si>
  <si>
    <t xml:space="preserve">Currency</t>
  </si>
  <si>
    <t xml:space="preserve">All monetary figures in USD.</t>
  </si>
  <si>
    <t xml:space="preserve">Companion dashboard</t>
  </si>
  <si>
    <t xml:space="preserve">dashboard/index.html reads this workbook's data (embedded at build time) to render an interactive finance dashboard -- see project README.md.</t>
  </si>
  <si>
    <t xml:space="preserve">Month</t>
  </si>
  <si>
    <t xml:space="preserve">Segment</t>
  </si>
  <si>
    <t xml:space="preserve">Subscribers</t>
  </si>
  <si>
    <t xml:space="preserve">ARPU_USD</t>
  </si>
  <si>
    <t xml:space="preserve">RevenueUSD</t>
  </si>
  <si>
    <t xml:space="preserve">GrossMarginPct</t>
  </si>
  <si>
    <t xml:space="preserve">2022-10-01</t>
  </si>
  <si>
    <t xml:space="preserve">Residential Fiber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</si>
  <si>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</si>
  <si>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</si>
  <si>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</si>
  <si>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</si>
  <si>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</si>
  <si>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</si>
  <si>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</si>
  <si>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</si>
  <si>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</si>
  <si>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</si>
  <si>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</si>
  <si>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</si>
  <si>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</si>
  <si>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</si>
  <si>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</si>
  <si>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</si>
  <si>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</si>
  <si>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</si>
  <si>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</si>
  <si>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</si>
  <si>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</si>
  <si>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</si>
  <si>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</si>
  <si>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</si>
  <si>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</si>
  <si>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</si>
  <si>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</si>
  <si>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</si>
  <si>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</si>
  <si>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</si>
  <si>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</si>
  <si>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</si>
  <si>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</si>
  <si>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</si>
  <si>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</si>
  <si>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</si>
  <si>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</si>
  <si>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</si>
  <si>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</si>
  <si>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</si>
  <si>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</si>
  <si>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</si>
  <si>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</si>
  <si>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</si>
  <si>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</si>
  <si>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</si>
  <si>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</si>
  <si>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Residential Mobile</t>
  </si>
  <si>
    <t xml:space="preserve">Residential TV/Bundles</t>
  </si>
  <si>
    <t xml:space="preserve">Business &amp; Enterprise</t>
  </si>
  <si>
    <t xml:space="preserve">Wholesale &amp; Interconnect</t>
  </si>
  <si>
    <t xml:space="preserve">COGSUSD</t>
  </si>
  <si>
    <t xml:space="preserve">GrossProfitUSD</t>
  </si>
  <si>
    <t xml:space="preserve">OPEX_Network_Operations</t>
  </si>
  <si>
    <t xml:space="preserve">OPEX_Customer_Care_and_Support</t>
  </si>
  <si>
    <t xml:space="preserve">OPEX_Sales_and_Marketing</t>
  </si>
  <si>
    <t xml:space="preserve">OPEX_General_and_Administrative</t>
  </si>
  <si>
    <t xml:space="preserve">OPEX_Personnel_(non-COGS)</t>
  </si>
  <si>
    <t xml:space="preserve">OPEX_IT_and_Systems</t>
  </si>
  <si>
    <t xml:space="preserve">TotalOPEXUSD</t>
  </si>
  <si>
    <t xml:space="preserve">EBITDA_USD</t>
  </si>
  <si>
    <t xml:space="preserve">EBITDA_MarginPct</t>
  </si>
  <si>
    <t xml:space="preserve">DepreciationAmortizationUSD</t>
  </si>
  <si>
    <t xml:space="preserve">EBIT_USD</t>
  </si>
  <si>
    <t xml:space="preserve">InterestExpenseUSD</t>
  </si>
  <si>
    <t xml:space="preserve">PretaxIncomeUSD</t>
  </si>
  <si>
    <t xml:space="preserve">TaxExpenseUSD</t>
  </si>
  <si>
    <t xml:space="preserve">NetIncomeUSD</t>
  </si>
  <si>
    <t xml:space="preserve">NetMarginPct</t>
  </si>
  <si>
    <t xml:space="preserve">CashUSD</t>
  </si>
  <si>
    <t xml:space="preserve">AccountsReceivableUSD</t>
  </si>
  <si>
    <t xml:space="preserve">OtherCurrentAssetsUSD</t>
  </si>
  <si>
    <t xml:space="preserve">CurrentAssetsUSD</t>
  </si>
  <si>
    <t xml:space="preserve">PPE_NetUSD</t>
  </si>
  <si>
    <t xml:space="preserve">IntangiblesUSD</t>
  </si>
  <si>
    <t xml:space="preserve">NonCurrentAssetsUSD</t>
  </si>
  <si>
    <t xml:space="preserve">TotalAssetsUSD</t>
  </si>
  <si>
    <t xml:space="preserve">AccountsPayableUSD</t>
  </si>
  <si>
    <t xml:space="preserve">CurrentPortionDebtUSD</t>
  </si>
  <si>
    <t xml:space="preserve">CurrentLiabilitiesUSD</t>
  </si>
  <si>
    <t xml:space="preserve">LongTermDebtUSD</t>
  </si>
  <si>
    <t xml:space="preserve">TotalLiabilitiesUSD</t>
  </si>
  <si>
    <t xml:space="preserve">CommonEquityUSD</t>
  </si>
  <si>
    <t xml:space="preserve">RetainedEarningsUSD</t>
  </si>
  <si>
    <t xml:space="preserve">TotalEquityUSD</t>
  </si>
  <si>
    <t xml:space="preserve">BalanceCheckUSD</t>
  </si>
  <si>
    <t xml:space="preserve">CashFromOperationsUSD</t>
  </si>
  <si>
    <t xml:space="preserve">CashFromInvestingUSD</t>
  </si>
  <si>
    <t xml:space="preserve">CashFromFinancingUSD</t>
  </si>
  <si>
    <t xml:space="preserve">NetChangeInCashUSD</t>
  </si>
  <si>
    <t xml:space="preserve">EndingCashUSD</t>
  </si>
  <si>
    <t xml:space="preserve">FreeCashFlowUSD</t>
  </si>
  <si>
    <t xml:space="preserve">DividendsPaidUSD</t>
  </si>
  <si>
    <t xml:space="preserve">ProjectID</t>
  </si>
  <si>
    <t xml:space="preserve">Category</t>
  </si>
  <si>
    <t xml:space="preserve">CapexType</t>
  </si>
  <si>
    <t xml:space="preserve">Region</t>
  </si>
  <si>
    <t xml:space="preserve">PlannedBudgetUSD</t>
  </si>
  <si>
    <t xml:space="preserve">ActualSpendUSD</t>
  </si>
  <si>
    <t xml:space="preserve">VarianceUSD</t>
  </si>
  <si>
    <t xml:space="preserve">Status</t>
  </si>
  <si>
    <t xml:space="preserve">CPX-0001</t>
  </si>
  <si>
    <t xml:space="preserve">Fiber Network Expansion</t>
  </si>
  <si>
    <t xml:space="preserve">Growth</t>
  </si>
  <si>
    <t xml:space="preserve">East Region</t>
  </si>
  <si>
    <t xml:space="preserve">Completed</t>
  </si>
  <si>
    <t xml:space="preserve">CPX-0002</t>
  </si>
  <si>
    <t xml:space="preserve">5G Mobile Network Build-out</t>
  </si>
  <si>
    <t xml:space="preserve">CPX-0003</t>
  </si>
  <si>
    <t xml:space="preserve">Data Center &amp; Core Infrastructure</t>
  </si>
  <si>
    <t xml:space="preserve">CPX-0004</t>
  </si>
  <si>
    <t xml:space="preserve">IT Systems &amp; Digital Platforms</t>
  </si>
  <si>
    <t xml:space="preserve">North Region</t>
  </si>
  <si>
    <t xml:space="preserve">CPX-0005</t>
  </si>
  <si>
    <t xml:space="preserve">Network Maintenance &amp; Upgrades</t>
  </si>
  <si>
    <t xml:space="preserve">Maintenance</t>
  </si>
  <si>
    <t xml:space="preserve">CPX-0006</t>
  </si>
  <si>
    <t xml:space="preserve">Fleet &amp; Field Equipment</t>
  </si>
  <si>
    <t xml:space="preserve">CPX-0007</t>
  </si>
  <si>
    <t xml:space="preserve">South Region</t>
  </si>
  <si>
    <t xml:space="preserve">CPX-0008</t>
  </si>
  <si>
    <t xml:space="preserve">CPX-0009</t>
  </si>
  <si>
    <t xml:space="preserve">CPX-0010</t>
  </si>
  <si>
    <t xml:space="preserve">CPX-0011</t>
  </si>
  <si>
    <t xml:space="preserve">CPX-0012</t>
  </si>
  <si>
    <t xml:space="preserve">CPX-0013</t>
  </si>
  <si>
    <t xml:space="preserve">CPX-0014</t>
  </si>
  <si>
    <t xml:space="preserve">Capital Region</t>
  </si>
  <si>
    <t xml:space="preserve">CPX-0015</t>
  </si>
  <si>
    <t xml:space="preserve">CPX-0016</t>
  </si>
  <si>
    <t xml:space="preserve">CPX-0017</t>
  </si>
  <si>
    <t xml:space="preserve">CPX-0018</t>
  </si>
  <si>
    <t xml:space="preserve">CPX-0019</t>
  </si>
  <si>
    <t xml:space="preserve">CPX-0020</t>
  </si>
  <si>
    <t xml:space="preserve">CPX-0021</t>
  </si>
  <si>
    <t xml:space="preserve">CPX-0022</t>
  </si>
  <si>
    <t xml:space="preserve">CPX-0023</t>
  </si>
  <si>
    <t xml:space="preserve">CPX-0024</t>
  </si>
  <si>
    <t xml:space="preserve">CPX-0025</t>
  </si>
  <si>
    <t xml:space="preserve">CPX-0026</t>
  </si>
  <si>
    <t xml:space="preserve">CPX-0027</t>
  </si>
  <si>
    <t xml:space="preserve">CPX-0028</t>
  </si>
  <si>
    <t xml:space="preserve">CPX-0029</t>
  </si>
  <si>
    <t xml:space="preserve">CPX-0030</t>
  </si>
  <si>
    <t xml:space="preserve">CPX-0031</t>
  </si>
  <si>
    <t xml:space="preserve">CPX-0032</t>
  </si>
  <si>
    <t xml:space="preserve">CPX-0033</t>
  </si>
  <si>
    <t xml:space="preserve">CPX-0034</t>
  </si>
  <si>
    <t xml:space="preserve">CPX-0035</t>
  </si>
  <si>
    <t xml:space="preserve">CPX-0036</t>
  </si>
  <si>
    <t xml:space="preserve">CPX-0037</t>
  </si>
  <si>
    <t xml:space="preserve">CPX-0038</t>
  </si>
  <si>
    <t xml:space="preserve">CPX-0039</t>
  </si>
  <si>
    <t xml:space="preserve">CPX-0040</t>
  </si>
  <si>
    <t xml:space="preserve">CPX-0041</t>
  </si>
  <si>
    <t xml:space="preserve">CPX-0042</t>
  </si>
  <si>
    <t xml:space="preserve">CPX-0043</t>
  </si>
  <si>
    <t xml:space="preserve">CPX-0044</t>
  </si>
  <si>
    <t xml:space="preserve">CPX-0045</t>
  </si>
  <si>
    <t xml:space="preserve">CPX-0046</t>
  </si>
  <si>
    <t xml:space="preserve">CPX-0047</t>
  </si>
  <si>
    <t xml:space="preserve">CPX-0048</t>
  </si>
  <si>
    <t xml:space="preserve">CPX-0049</t>
  </si>
  <si>
    <t xml:space="preserve">CPX-0050</t>
  </si>
  <si>
    <t xml:space="preserve">CPX-0051</t>
  </si>
  <si>
    <t xml:space="preserve">CPX-0052</t>
  </si>
  <si>
    <t xml:space="preserve">CPX-0053</t>
  </si>
  <si>
    <t xml:space="preserve">CPX-0054</t>
  </si>
  <si>
    <t xml:space="preserve">CPX-0055</t>
  </si>
  <si>
    <t xml:space="preserve">CPX-0056</t>
  </si>
  <si>
    <t xml:space="preserve">CPX-0057</t>
  </si>
  <si>
    <t xml:space="preserve">CPX-0058</t>
  </si>
  <si>
    <t xml:space="preserve">CPX-0059</t>
  </si>
  <si>
    <t xml:space="preserve">CPX-0060</t>
  </si>
  <si>
    <t xml:space="preserve">CPX-0061</t>
  </si>
  <si>
    <t xml:space="preserve">CPX-0062</t>
  </si>
  <si>
    <t xml:space="preserve">CPX-0063</t>
  </si>
  <si>
    <t xml:space="preserve">CPX-0064</t>
  </si>
  <si>
    <t xml:space="preserve">CPX-0065</t>
  </si>
  <si>
    <t xml:space="preserve">CPX-0066</t>
  </si>
  <si>
    <t xml:space="preserve">CPX-0067</t>
  </si>
  <si>
    <t xml:space="preserve">CPX-0068</t>
  </si>
  <si>
    <t xml:space="preserve">CPX-0069</t>
  </si>
  <si>
    <t xml:space="preserve">CPX-0070</t>
  </si>
  <si>
    <t xml:space="preserve">CPX-0071</t>
  </si>
  <si>
    <t xml:space="preserve">CPX-0072</t>
  </si>
  <si>
    <t xml:space="preserve">CPX-0073</t>
  </si>
  <si>
    <t xml:space="preserve">CPX-0074</t>
  </si>
  <si>
    <t xml:space="preserve">CPX-0075</t>
  </si>
  <si>
    <t xml:space="preserve">CPX-0076</t>
  </si>
  <si>
    <t xml:space="preserve">CPX-0077</t>
  </si>
  <si>
    <t xml:space="preserve">CPX-0078</t>
  </si>
  <si>
    <t xml:space="preserve">CPX-0079</t>
  </si>
  <si>
    <t xml:space="preserve">CPX-0080</t>
  </si>
  <si>
    <t xml:space="preserve">CPX-0081</t>
  </si>
  <si>
    <t xml:space="preserve">CPX-0082</t>
  </si>
  <si>
    <t xml:space="preserve">CPX-0083</t>
  </si>
  <si>
    <t xml:space="preserve">CPX-0084</t>
  </si>
  <si>
    <t xml:space="preserve">CPX-0085</t>
  </si>
  <si>
    <t xml:space="preserve">CPX-0086</t>
  </si>
  <si>
    <t xml:space="preserve">CPX-0087</t>
  </si>
  <si>
    <t xml:space="preserve">CPX-0088</t>
  </si>
  <si>
    <t xml:space="preserve">CPX-0089</t>
  </si>
  <si>
    <t xml:space="preserve">CPX-0090</t>
  </si>
  <si>
    <t xml:space="preserve">CPX-0091</t>
  </si>
  <si>
    <t xml:space="preserve">CPX-0092</t>
  </si>
  <si>
    <t xml:space="preserve">CPX-0093</t>
  </si>
  <si>
    <t xml:space="preserve">CPX-0094</t>
  </si>
  <si>
    <t xml:space="preserve">CPX-0095</t>
  </si>
  <si>
    <t xml:space="preserve">CPX-0096</t>
  </si>
  <si>
    <t xml:space="preserve">CPX-0097</t>
  </si>
  <si>
    <t xml:space="preserve">CPX-0098</t>
  </si>
  <si>
    <t xml:space="preserve">CPX-0099</t>
  </si>
  <si>
    <t xml:space="preserve">CPX-0100</t>
  </si>
  <si>
    <t xml:space="preserve">CPX-0101</t>
  </si>
  <si>
    <t xml:space="preserve">CPX-0102</t>
  </si>
  <si>
    <t xml:space="preserve">CPX-0103</t>
  </si>
  <si>
    <t xml:space="preserve">CPX-0104</t>
  </si>
  <si>
    <t xml:space="preserve">CPX-0105</t>
  </si>
  <si>
    <t xml:space="preserve">CPX-0106</t>
  </si>
  <si>
    <t xml:space="preserve">CPX-0107</t>
  </si>
  <si>
    <t xml:space="preserve">CPX-0108</t>
  </si>
  <si>
    <t xml:space="preserve">CPX-0109</t>
  </si>
  <si>
    <t xml:space="preserve">CPX-0110</t>
  </si>
  <si>
    <t xml:space="preserve">CPX-0111</t>
  </si>
  <si>
    <t xml:space="preserve">CPX-0112</t>
  </si>
  <si>
    <t xml:space="preserve">CPX-0113</t>
  </si>
  <si>
    <t xml:space="preserve">CPX-0114</t>
  </si>
  <si>
    <t xml:space="preserve">CPX-0115</t>
  </si>
  <si>
    <t xml:space="preserve">CPX-0116</t>
  </si>
  <si>
    <t xml:space="preserve">CPX-0117</t>
  </si>
  <si>
    <t xml:space="preserve">CPX-0118</t>
  </si>
  <si>
    <t xml:space="preserve">CPX-0119</t>
  </si>
  <si>
    <t xml:space="preserve">CPX-0120</t>
  </si>
  <si>
    <t xml:space="preserve">CPX-0121</t>
  </si>
  <si>
    <t xml:space="preserve">CPX-0122</t>
  </si>
  <si>
    <t xml:space="preserve">CPX-0123</t>
  </si>
  <si>
    <t xml:space="preserve">CPX-0124</t>
  </si>
  <si>
    <t xml:space="preserve">CPX-0125</t>
  </si>
  <si>
    <t xml:space="preserve">CPX-0126</t>
  </si>
  <si>
    <t xml:space="preserve">CPX-0127</t>
  </si>
  <si>
    <t xml:space="preserve">CPX-0128</t>
  </si>
  <si>
    <t xml:space="preserve">CPX-0129</t>
  </si>
  <si>
    <t xml:space="preserve">CPX-0130</t>
  </si>
  <si>
    <t xml:space="preserve">CPX-0131</t>
  </si>
  <si>
    <t xml:space="preserve">CPX-0132</t>
  </si>
  <si>
    <t xml:space="preserve">CPX-0133</t>
  </si>
  <si>
    <t xml:space="preserve">CPX-0134</t>
  </si>
  <si>
    <t xml:space="preserve">CPX-0135</t>
  </si>
  <si>
    <t xml:space="preserve">CPX-0136</t>
  </si>
  <si>
    <t xml:space="preserve">CPX-0137</t>
  </si>
  <si>
    <t xml:space="preserve">CPX-0138</t>
  </si>
  <si>
    <t xml:space="preserve">CPX-0139</t>
  </si>
  <si>
    <t xml:space="preserve">CPX-0140</t>
  </si>
  <si>
    <t xml:space="preserve">CPX-0141</t>
  </si>
  <si>
    <t xml:space="preserve">CPX-0142</t>
  </si>
  <si>
    <t xml:space="preserve">CPX-0143</t>
  </si>
  <si>
    <t xml:space="preserve">CPX-0144</t>
  </si>
  <si>
    <t xml:space="preserve">CPX-0145</t>
  </si>
  <si>
    <t xml:space="preserve">CPX-0146</t>
  </si>
  <si>
    <t xml:space="preserve">CPX-0147</t>
  </si>
  <si>
    <t xml:space="preserve">CPX-0148</t>
  </si>
  <si>
    <t xml:space="preserve">CPX-0149</t>
  </si>
  <si>
    <t xml:space="preserve">CPX-0150</t>
  </si>
  <si>
    <t xml:space="preserve">CPX-0151</t>
  </si>
  <si>
    <t xml:space="preserve">CPX-0152</t>
  </si>
  <si>
    <t xml:space="preserve">CPX-0153</t>
  </si>
  <si>
    <t xml:space="preserve">CPX-0154</t>
  </si>
  <si>
    <t xml:space="preserve">CPX-0155</t>
  </si>
  <si>
    <t xml:space="preserve">CPX-0156</t>
  </si>
  <si>
    <t xml:space="preserve">CPX-0157</t>
  </si>
  <si>
    <t xml:space="preserve">CPX-0158</t>
  </si>
  <si>
    <t xml:space="preserve">CPX-0159</t>
  </si>
  <si>
    <t xml:space="preserve">CPX-0160</t>
  </si>
  <si>
    <t xml:space="preserve">CPX-0161</t>
  </si>
  <si>
    <t xml:space="preserve">CPX-0162</t>
  </si>
  <si>
    <t xml:space="preserve">CPX-0163</t>
  </si>
  <si>
    <t xml:space="preserve">CPX-0164</t>
  </si>
  <si>
    <t xml:space="preserve">CPX-0165</t>
  </si>
  <si>
    <t xml:space="preserve">CPX-0166</t>
  </si>
  <si>
    <t xml:space="preserve">CPX-0167</t>
  </si>
  <si>
    <t xml:space="preserve">CPX-0168</t>
  </si>
  <si>
    <t xml:space="preserve">CPX-0169</t>
  </si>
  <si>
    <t xml:space="preserve">CPX-0170</t>
  </si>
  <si>
    <t xml:space="preserve">CPX-0171</t>
  </si>
  <si>
    <t xml:space="preserve">CPX-0172</t>
  </si>
  <si>
    <t xml:space="preserve">CPX-0173</t>
  </si>
  <si>
    <t xml:space="preserve">CPX-0174</t>
  </si>
  <si>
    <t xml:space="preserve">CPX-0175</t>
  </si>
  <si>
    <t xml:space="preserve">CPX-0176</t>
  </si>
  <si>
    <t xml:space="preserve">CPX-0177</t>
  </si>
  <si>
    <t xml:space="preserve">CPX-0178</t>
  </si>
  <si>
    <t xml:space="preserve">CPX-0179</t>
  </si>
  <si>
    <t xml:space="preserve">CPX-0180</t>
  </si>
  <si>
    <t xml:space="preserve">CPX-0181</t>
  </si>
  <si>
    <t xml:space="preserve">CPX-0182</t>
  </si>
  <si>
    <t xml:space="preserve">CPX-0183</t>
  </si>
  <si>
    <t xml:space="preserve">CPX-0184</t>
  </si>
  <si>
    <t xml:space="preserve">CPX-0185</t>
  </si>
  <si>
    <t xml:space="preserve">CPX-0186</t>
  </si>
  <si>
    <t xml:space="preserve">CPX-0187</t>
  </si>
  <si>
    <t xml:space="preserve">CPX-0188</t>
  </si>
  <si>
    <t xml:space="preserve">CPX-0189</t>
  </si>
  <si>
    <t xml:space="preserve">CPX-0190</t>
  </si>
  <si>
    <t xml:space="preserve">CPX-0191</t>
  </si>
  <si>
    <t xml:space="preserve">CPX-0192</t>
  </si>
  <si>
    <t xml:space="preserve">CPX-0193</t>
  </si>
  <si>
    <t xml:space="preserve">CPX-0194</t>
  </si>
  <si>
    <t xml:space="preserve">CPX-0195</t>
  </si>
  <si>
    <t xml:space="preserve">CPX-0196</t>
  </si>
  <si>
    <t xml:space="preserve">CPX-0197</t>
  </si>
  <si>
    <t xml:space="preserve">CPX-0198</t>
  </si>
  <si>
    <t xml:space="preserve">CPX-0199</t>
  </si>
  <si>
    <t xml:space="preserve">CPX-0200</t>
  </si>
  <si>
    <t xml:space="preserve">CPX-0201</t>
  </si>
  <si>
    <t xml:space="preserve">CPX-0202</t>
  </si>
  <si>
    <t xml:space="preserve">CPX-0203</t>
  </si>
  <si>
    <t xml:space="preserve">CPX-0204</t>
  </si>
  <si>
    <t xml:space="preserve">CPX-0205</t>
  </si>
  <si>
    <t xml:space="preserve">CPX-0206</t>
  </si>
  <si>
    <t xml:space="preserve">CPX-0207</t>
  </si>
  <si>
    <t xml:space="preserve">CPX-0208</t>
  </si>
  <si>
    <t xml:space="preserve">CPX-0209</t>
  </si>
  <si>
    <t xml:space="preserve">CPX-0210</t>
  </si>
  <si>
    <t xml:space="preserve">CPX-0211</t>
  </si>
  <si>
    <t xml:space="preserve">CPX-0212</t>
  </si>
  <si>
    <t xml:space="preserve">CPX-0213</t>
  </si>
  <si>
    <t xml:space="preserve">CPX-0214</t>
  </si>
  <si>
    <t xml:space="preserve">CPX-0215</t>
  </si>
  <si>
    <t xml:space="preserve">CPX-0216</t>
  </si>
  <si>
    <t xml:space="preserve">CPX-0217</t>
  </si>
  <si>
    <t xml:space="preserve">CPX-0218</t>
  </si>
  <si>
    <t xml:space="preserve">CPX-0219</t>
  </si>
  <si>
    <t xml:space="preserve">CPX-0220</t>
  </si>
  <si>
    <t xml:space="preserve">CPX-0221</t>
  </si>
  <si>
    <t xml:space="preserve">CPX-0222</t>
  </si>
  <si>
    <t xml:space="preserve">CPX-0223</t>
  </si>
  <si>
    <t xml:space="preserve">CPX-0224</t>
  </si>
  <si>
    <t xml:space="preserve">CPX-0225</t>
  </si>
  <si>
    <t xml:space="preserve">CPX-0226</t>
  </si>
  <si>
    <t xml:space="preserve">CPX-0227</t>
  </si>
  <si>
    <t xml:space="preserve">CPX-0228</t>
  </si>
  <si>
    <t xml:space="preserve">CPX-0229</t>
  </si>
  <si>
    <t xml:space="preserve">CPX-0230</t>
  </si>
  <si>
    <t xml:space="preserve">CPX-0231</t>
  </si>
  <si>
    <t xml:space="preserve">CPX-0232</t>
  </si>
  <si>
    <t xml:space="preserve">CPX-0233</t>
  </si>
  <si>
    <t xml:space="preserve">CPX-0234</t>
  </si>
  <si>
    <t xml:space="preserve">CPX-0235</t>
  </si>
  <si>
    <t xml:space="preserve">CPX-0236</t>
  </si>
  <si>
    <t xml:space="preserve">CPX-0237</t>
  </si>
  <si>
    <t xml:space="preserve">CPX-0238</t>
  </si>
  <si>
    <t xml:space="preserve">CPX-0239</t>
  </si>
  <si>
    <t xml:space="preserve">CPX-0240</t>
  </si>
  <si>
    <t xml:space="preserve">CPX-0241</t>
  </si>
  <si>
    <t xml:space="preserve">CPX-0242</t>
  </si>
  <si>
    <t xml:space="preserve">CPX-0243</t>
  </si>
  <si>
    <t xml:space="preserve">CPX-0244</t>
  </si>
  <si>
    <t xml:space="preserve">CPX-0245</t>
  </si>
  <si>
    <t xml:space="preserve">CPX-0246</t>
  </si>
  <si>
    <t xml:space="preserve">CPX-0247</t>
  </si>
  <si>
    <t xml:space="preserve">CPX-0248</t>
  </si>
  <si>
    <t xml:space="preserve">CPX-0249</t>
  </si>
  <si>
    <t xml:space="preserve">CPX-0250</t>
  </si>
  <si>
    <t xml:space="preserve">CPX-0251</t>
  </si>
  <si>
    <t xml:space="preserve">CPX-0252</t>
  </si>
  <si>
    <t xml:space="preserve">CPX-0253</t>
  </si>
  <si>
    <t xml:space="preserve">CPX-0254</t>
  </si>
  <si>
    <t xml:space="preserve">CPX-0255</t>
  </si>
  <si>
    <t xml:space="preserve">CPX-0256</t>
  </si>
  <si>
    <t xml:space="preserve">CPX-0257</t>
  </si>
  <si>
    <t xml:space="preserve">CPX-0258</t>
  </si>
  <si>
    <t xml:space="preserve">CPX-0259</t>
  </si>
  <si>
    <t xml:space="preserve">CPX-0260</t>
  </si>
  <si>
    <t xml:space="preserve">CPX-0261</t>
  </si>
  <si>
    <t xml:space="preserve">CPX-0262</t>
  </si>
  <si>
    <t xml:space="preserve">CPX-0263</t>
  </si>
  <si>
    <t xml:space="preserve">CPX-0264</t>
  </si>
  <si>
    <t xml:space="preserve">CPX-0265</t>
  </si>
  <si>
    <t xml:space="preserve">CPX-0266</t>
  </si>
  <si>
    <t xml:space="preserve">CPX-0267</t>
  </si>
  <si>
    <t xml:space="preserve">CPX-0268</t>
  </si>
  <si>
    <t xml:space="preserve">CPX-0269</t>
  </si>
  <si>
    <t xml:space="preserve">CPX-0270</t>
  </si>
  <si>
    <t xml:space="preserve">CPX-0271</t>
  </si>
  <si>
    <t xml:space="preserve">CPX-0272</t>
  </si>
  <si>
    <t xml:space="preserve">In Progress</t>
  </si>
  <si>
    <t xml:space="preserve">CPX-0273</t>
  </si>
  <si>
    <t xml:space="preserve">CPX-0274</t>
  </si>
  <si>
    <t xml:space="preserve">CPX-0275</t>
  </si>
  <si>
    <t xml:space="preserve">CPX-0276</t>
  </si>
  <si>
    <t xml:space="preserve">CPX-0277</t>
  </si>
  <si>
    <t xml:space="preserve">CPX-0278</t>
  </si>
  <si>
    <t xml:space="preserve">CPX-0279</t>
  </si>
  <si>
    <t xml:space="preserve">CPX-0280</t>
  </si>
  <si>
    <t xml:space="preserve">CPX-0281</t>
  </si>
  <si>
    <t xml:space="preserve">CPX-0282</t>
  </si>
  <si>
    <t xml:space="preserve">CPX-0283</t>
  </si>
  <si>
    <t xml:space="preserve">CPX-0284</t>
  </si>
  <si>
    <t xml:space="preserve">CPX-0285</t>
  </si>
  <si>
    <t xml:space="preserve">CPX-0286</t>
  </si>
  <si>
    <t xml:space="preserve">CPX-0287</t>
  </si>
  <si>
    <t xml:space="preserve">CPX-0288</t>
  </si>
  <si>
    <t xml:space="preserve">TrancheID</t>
  </si>
  <si>
    <t xml:space="preserve">Lender</t>
  </si>
  <si>
    <t xml:space="preserve">InterestRatePct</t>
  </si>
  <si>
    <t xml:space="preserve">AmortizationType</t>
  </si>
  <si>
    <t xml:space="preserve">OriginalPrincipalUSD</t>
  </si>
  <si>
    <t xml:space="preserve">OutstandingBalanceUSD</t>
  </si>
  <si>
    <t xml:space="preserve">MaturityDate</t>
  </si>
  <si>
    <t xml:space="preserve">TR-A</t>
  </si>
  <si>
    <t xml:space="preserve">Senior Bank Loan A</t>
  </si>
  <si>
    <t xml:space="preserve">Amortizing</t>
  </si>
  <si>
    <t xml:space="preserve">2029-06-01</t>
  </si>
  <si>
    <t xml:space="preserve">TR-B</t>
  </si>
  <si>
    <t xml:space="preserve">Senior Bank Loan B</t>
  </si>
  <si>
    <t xml:space="preserve">2030-03-01</t>
  </si>
  <si>
    <t xml:space="preserve">TR-C</t>
  </si>
  <si>
    <t xml:space="preserve">Corporate Bond</t>
  </si>
  <si>
    <t xml:space="preserve">Bullet</t>
  </si>
  <si>
    <t xml:space="preserve">2032-09-01</t>
  </si>
  <si>
    <t xml:space="preserve">TR-D</t>
  </si>
  <si>
    <t xml:space="preserve">Revolving Credit Facility</t>
  </si>
  <si>
    <t xml:space="preserve">Revolver</t>
  </si>
  <si>
    <t xml:space="preserve">2027-01-01</t>
  </si>
  <si>
    <t xml:space="preserve">CostCenter</t>
  </si>
  <si>
    <t xml:space="preserve">BudgetedUSD</t>
  </si>
  <si>
    <t xml:space="preserve">ActualUSD</t>
  </si>
  <si>
    <t xml:space="preserve">VariancePct</t>
  </si>
  <si>
    <t xml:space="preserve">Network Operations</t>
  </si>
  <si>
    <t xml:space="preserve">Customer Care &amp; Call Center</t>
  </si>
  <si>
    <t xml:space="preserve">Field Operations &amp; Installation</t>
  </si>
  <si>
    <t xml:space="preserve">IT &amp; Software Engineering</t>
  </si>
  <si>
    <t xml:space="preserve">Sales &amp; Business Development</t>
  </si>
  <si>
    <t xml:space="preserve">Marketing &amp; Brand</t>
  </si>
  <si>
    <t xml:space="preserve">Billing &amp; Revenue Assurance</t>
  </si>
  <si>
    <t xml:space="preserve">Human Resources</t>
  </si>
  <si>
    <t xml:space="preserve">Finance &amp; Accounting</t>
  </si>
  <si>
    <t xml:space="preserve">Data &amp; Cybersecurity</t>
  </si>
  <si>
    <t xml:space="preserve">Procurement &amp; Supply Chain</t>
  </si>
  <si>
    <t xml:space="preserve">Legal &amp; Regulatory Affairs</t>
  </si>
  <si>
    <t xml:space="preserve">MonthlyChurnRatePct</t>
  </si>
  <si>
    <t xml:space="preserve">AvgCustomerLifetimeMonths</t>
  </si>
  <si>
    <t xml:space="preserve">CAC_USD</t>
  </si>
  <si>
    <t xml:space="preserve">LTV_USD</t>
  </si>
  <si>
    <t xml:space="preserve">LTV_CAC_Ratio</t>
  </si>
  <si>
    <t xml:space="preserve">PaybackPeriodMonths</t>
  </si>
  <si>
    <t xml:space="preserve">12-Month Revenue &amp; EBITDA Forecast</t>
  </si>
  <si>
    <t xml:space="preserve">Methodology: 50% linear-trend regression on last 18 months of revenue, blended 50% with a stated 8% annual growth target. EBITDA = forecast revenue x trailing-12-month average EBITDA margin.</t>
  </si>
  <si>
    <t xml:space="preserve">ForecastRevenue_Trend</t>
  </si>
  <si>
    <t xml:space="preserve">ForecastRevenue_GrowthTarget</t>
  </si>
  <si>
    <t xml:space="preserve">ForecastRevenue_Blended</t>
  </si>
  <si>
    <t xml:space="preserve">ForecastEBITDA</t>
  </si>
  <si>
    <t xml:space="preserve">AssumedEBITDAMarginPct</t>
  </si>
  <si>
    <t xml:space="preserve">2026-10-01</t>
  </si>
  <si>
    <t xml:space="preserve">2026-11-01</t>
  </si>
  <si>
    <t xml:space="preserve">2026-12-01</t>
  </si>
  <si>
    <t xml:space="preserve">2027-02-01</t>
  </si>
  <si>
    <t xml:space="preserve">2027-03-01</t>
  </si>
  <si>
    <t xml:space="preserve">2027-04-01</t>
  </si>
  <si>
    <t xml:space="preserve">2027-05-01</t>
  </si>
  <si>
    <t xml:space="preserve">2027-06-01</t>
  </si>
  <si>
    <t xml:space="preserve">2027-07-01</t>
  </si>
  <si>
    <t xml:space="preserve">2027-08-01</t>
  </si>
  <si>
    <t xml:space="preserve">2027-09-01</t>
  </si>
  <si>
    <t xml:space="preserve">12-Month Free Cash Flow &amp; Liquidity Forecast</t>
  </si>
  <si>
    <t xml:space="preserve">Methodology: Holt's linear (double) exponential smoothing (alpha=0.40, beta=0.25) fitted on 47 months of free cash flow, projected forward and cumulated against the latest cash balance.</t>
  </si>
  <si>
    <t xml:space="preserve">ForecastFreeCashFlow</t>
  </si>
  <si>
    <t xml:space="preserve">ProjectedCashBalance</t>
  </si>
  <si>
    <t xml:space="preserve">12-Month Capital Investment Plan</t>
  </si>
  <si>
    <t xml:space="preserve">Methodology: forecast revenue x trailing capex-intensity ratio, allocated to categories using each category's trailing-12-month share of actual spend. CapexType flags Growth (network expansion) vs. Maintenance.</t>
  </si>
  <si>
    <t xml:space="preserve">PlannedCapexUSD</t>
  </si>
  <si>
    <t xml:space="preserve">Cost Center Budget Overrun Risk Scoring</t>
  </si>
  <si>
    <t xml:space="preserve">Methodology: explainable weighted-factor model (0-100). Weights: Avg. overspend 32%, Worsening trend 24%, Latest-month overspend 20%, Spend volatility 14%, Absolute budget size 10%. Min-max scaled across cost centers; bands set from this population's 50th/80th/93rd percentiles.</t>
  </si>
  <si>
    <t xml:space="preserve">AvgVariancePct</t>
  </si>
  <si>
    <t xml:space="preserve">LatestVariancePct</t>
  </si>
  <si>
    <t xml:space="preserve">AvgMonthlyBudgetUSD</t>
  </si>
  <si>
    <t xml:space="preserve">BudgetRiskScore</t>
  </si>
  <si>
    <t xml:space="preserve">RiskBand</t>
  </si>
  <si>
    <t xml:space="preserve">TopRiskDrivers</t>
  </si>
  <si>
    <t xml:space="preserve">Critical</t>
  </si>
  <si>
    <t xml:space="preserve">Persistent overspend vs. budget &amp; Overspend trend worsening</t>
  </si>
  <si>
    <t xml:space="preserve">High</t>
  </si>
  <si>
    <t xml:space="preserve">Overspend trend worsening &amp; Persistent overspend vs. budget</t>
  </si>
  <si>
    <t xml:space="preserve">Medium</t>
  </si>
  <si>
    <t xml:space="preserve">Overspend trend worsening &amp; Over budget last month</t>
  </si>
  <si>
    <t xml:space="preserve">Over budget last month &amp; Persistent overspend vs. budget</t>
  </si>
  <si>
    <t xml:space="preserve">Large absolute budget exposure &amp; Highly volatile spend pattern</t>
  </si>
  <si>
    <t xml:space="preserve">Low</t>
  </si>
  <si>
    <t xml:space="preserve">Large absolute budget exposure &amp; Overspend trend worsening</t>
  </si>
  <si>
    <t xml:space="preserve">Large absolute budget exposure &amp; Persistent overspend vs. budget</t>
  </si>
  <si>
    <t xml:space="preserve">Highly volatile spend pattern &amp; Large absolute budget exposure</t>
  </si>
  <si>
    <t xml:space="preserve">Highly volatile spend pattern &amp; Persistent overspend vs. budget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</si>
</sst>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0%"/>
    <numFmt numFmtId="168" formatCode="0.0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0E7C7B"/>
      <name val="Cambria"/>
      <family val="0"/>
      <charset val="1"/>
    </font>
    <font>
      <sz val="10"/>
      <name val="Calibri"/>
      <family val="0"/>
      <charset val="1"/>
    </font>
    <font>
      <b val="true"/>
      <sz val="11"/>
      <color rgb="FF1B2A4A"/>
      <name val="Cambria"/>
      <family val="0"/>
      <charset val="1"/>
    </font>
    <font>
      <b val="true"/>
      <sz val="10"/>
      <color rgb="FF1B2A4A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BC47C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2CB7D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983"/>
          <bgColor rgb="FF000000"/>
        </patternFill>
      </fill>
    </dxf>
    <dxf>
      <fill>
        <patternFill patternType="solid">
          <fgColor rgb="FFF9716D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DB87B"/>
          <bgColor rgb="FF000000"/>
        </patternFill>
      </fill>
    </dxf>
    <dxf>
      <fill>
        <patternFill patternType="solid">
          <fgColor rgb="FFFFE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E7C7B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EBITDA (48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PnL!B1</c:f>
              <c:strCache>
                <c:ptCount val="1"/>
                <c:pt idx="0">
                  <c:v>RevenueUSD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PnL!$A$2:$A$49</c:f>
              <c:strCache>
                <c:ptCount val="48"/>
                <c:pt idx="0">
                  <c:v>2022-10-01</c:v>
                </c:pt>
                <c:pt idx="1">
                  <c:v>2022-11-01</c:v>
                </c:pt>
                <c:pt idx="2">
                  <c:v>2022-12-01</c:v>
                </c:pt>
                <c:pt idx="3">
                  <c:v>2023-01-01</c:v>
                </c:pt>
                <c:pt idx="4">
                  <c:v>2023-02-01</c:v>
                </c:pt>
                <c:pt idx="5">
                  <c:v>2023-03-01</c:v>
                </c:pt>
                <c:pt idx="6">
                  <c:v>2023-04-01</c:v>
                </c:pt>
                <c:pt idx="7">
                  <c:v>2023-05-01</c:v>
                </c:pt>
                <c:pt idx="8">
                  <c:v>2023-06-01</c:v>
                </c:pt>
                <c:pt idx="9">
                  <c:v>2023-07-01</c:v>
                </c:pt>
                <c:pt idx="10">
                  <c:v>2023-08-01</c:v>
                </c:pt>
                <c:pt idx="11">
                  <c:v>2023-09-01</c:v>
                </c:pt>
                <c:pt idx="12">
                  <c:v>2023-10-01</c:v>
                </c:pt>
                <c:pt idx="13">
                  <c:v>2023-11-01</c:v>
                </c:pt>
                <c:pt idx="14">
                  <c:v>2023-12-01</c:v>
                </c:pt>
                <c:pt idx="15">
                  <c:v>2024-01-01</c:v>
                </c:pt>
                <c:pt idx="16">
                  <c:v>2024-02-01</c:v>
                </c:pt>
                <c:pt idx="17">
                  <c:v>2024-03-01</c:v>
                </c:pt>
                <c:pt idx="18">
                  <c:v>2024-04-01</c:v>
                </c:pt>
                <c:pt idx="19">
                  <c:v>2024-05-01</c:v>
                </c:pt>
                <c:pt idx="20">
                  <c:v>2024-06-01</c:v>
                </c:pt>
                <c:pt idx="21">
                  <c:v>2024-07-01</c:v>
                </c:pt>
                <c:pt idx="22">
                  <c:v>2024-08-01</c:v>
                </c:pt>
                <c:pt idx="23">
                  <c:v>2024-09-01</c:v>
                </c:pt>
                <c:pt idx="24">
                  <c:v>2024-10-01</c:v>
                </c:pt>
                <c:pt idx="25">
                  <c:v>2024-11-01</c:v>
                </c:pt>
                <c:pt idx="26">
                  <c:v>2024-12-01</c:v>
                </c:pt>
                <c:pt idx="27">
                  <c:v>2025-01-01</c:v>
                </c:pt>
                <c:pt idx="28">
                  <c:v>2025-02-01</c:v>
                </c:pt>
                <c:pt idx="29">
                  <c:v>2025-03-01</c:v>
                </c:pt>
                <c:pt idx="30">
                  <c:v>2025-04-01</c:v>
                </c:pt>
                <c:pt idx="31">
                  <c:v>2025-05-01</c:v>
                </c:pt>
                <c:pt idx="32">
                  <c:v>2025-06-01</c:v>
                </c:pt>
                <c:pt idx="33">
                  <c:v>2025-07-01</c:v>
                </c:pt>
                <c:pt idx="34">
                  <c:v>2025-08-01</c:v>
                </c:pt>
                <c:pt idx="35">
                  <c:v>2025-09-01</c:v>
                </c:pt>
                <c:pt idx="36">
                  <c:v>2025-10-01</c:v>
                </c:pt>
                <c:pt idx="37">
                  <c:v>2025-11-01</c:v>
                </c:pt>
                <c:pt idx="38">
                  <c:v>2025-12-01</c:v>
                </c:pt>
                <c:pt idx="39">
                  <c:v>2026-01-01</c:v>
                </c:pt>
                <c:pt idx="40">
                  <c:v>2026-02-01</c:v>
                </c:pt>
                <c:pt idx="41">
                  <c:v>2026-03-01</c:v>
                </c:pt>
                <c:pt idx="42">
                  <c:v>2026-04-01</c:v>
                </c:pt>
                <c:pt idx="43">
                  <c:v>2026-05-01</c:v>
                </c:pt>
                <c:pt idx="44">
                  <c:v>2026-06-01</c:v>
                </c:pt>
                <c:pt idx="45">
                  <c:v>2026-07-01</c:v>
                </c:pt>
                <c:pt idx="46">
                  <c:v>2026-08-01</c:v>
                </c:pt>
                <c:pt idx="47">
                  <c:v>2026-09-01</c:v>
                </c:pt>
              </c:strCache>
            </c:strRef>
          </c:cat>
          <c:val>
            <c:numRef>
              <c:f>PnL!$B$2:$B$49</c:f>
              <c:numCache>
                <c:formatCode>General</c:formatCode>
                <c:ptCount val="48"/>
                <c:pt idx="0">
                  <c:v>15919148</c:v>
                </c:pt>
                <c:pt idx="1">
                  <c:v>16072095</c:v>
                </c:pt>
                <c:pt idx="2">
                  <c:v>16269521</c:v>
                </c:pt>
                <c:pt idx="3">
                  <c:v>16380865</c:v>
                </c:pt>
                <c:pt idx="4">
                  <c:v>16287318</c:v>
                </c:pt>
                <c:pt idx="5">
                  <c:v>16258804</c:v>
                </c:pt>
                <c:pt idx="6">
                  <c:v>16464885</c:v>
                </c:pt>
                <c:pt idx="7">
                  <c:v>16645607</c:v>
                </c:pt>
                <c:pt idx="8">
                  <c:v>16512376</c:v>
                </c:pt>
                <c:pt idx="9">
                  <c:v>16491171</c:v>
                </c:pt>
                <c:pt idx="10">
                  <c:v>16437455</c:v>
                </c:pt>
                <c:pt idx="11">
                  <c:v>16335781</c:v>
                </c:pt>
                <c:pt idx="12">
                  <c:v>16523515</c:v>
                </c:pt>
                <c:pt idx="13">
                  <c:v>16768344</c:v>
                </c:pt>
                <c:pt idx="14">
                  <c:v>16933612</c:v>
                </c:pt>
                <c:pt idx="15">
                  <c:v>16933478</c:v>
                </c:pt>
                <c:pt idx="16">
                  <c:v>16954061</c:v>
                </c:pt>
                <c:pt idx="17">
                  <c:v>17069386</c:v>
                </c:pt>
                <c:pt idx="18">
                  <c:v>17095853</c:v>
                </c:pt>
                <c:pt idx="19">
                  <c:v>17241368</c:v>
                </c:pt>
                <c:pt idx="20">
                  <c:v>17372752</c:v>
                </c:pt>
                <c:pt idx="21">
                  <c:v>17379812</c:v>
                </c:pt>
                <c:pt idx="22">
                  <c:v>17465038</c:v>
                </c:pt>
                <c:pt idx="23">
                  <c:v>17495598</c:v>
                </c:pt>
                <c:pt idx="24">
                  <c:v>17431467</c:v>
                </c:pt>
                <c:pt idx="25">
                  <c:v>17592556</c:v>
                </c:pt>
                <c:pt idx="26">
                  <c:v>17648687</c:v>
                </c:pt>
                <c:pt idx="27">
                  <c:v>17751364</c:v>
                </c:pt>
                <c:pt idx="28">
                  <c:v>17802420</c:v>
                </c:pt>
                <c:pt idx="29">
                  <c:v>17927329</c:v>
                </c:pt>
                <c:pt idx="30">
                  <c:v>18092578</c:v>
                </c:pt>
                <c:pt idx="31">
                  <c:v>18172926</c:v>
                </c:pt>
                <c:pt idx="32">
                  <c:v>18427740</c:v>
                </c:pt>
                <c:pt idx="33">
                  <c:v>18957448</c:v>
                </c:pt>
                <c:pt idx="34">
                  <c:v>19067675</c:v>
                </c:pt>
                <c:pt idx="35">
                  <c:v>19381681</c:v>
                </c:pt>
                <c:pt idx="36">
                  <c:v>19460159</c:v>
                </c:pt>
                <c:pt idx="37">
                  <c:v>19382732</c:v>
                </c:pt>
                <c:pt idx="38">
                  <c:v>19498926</c:v>
                </c:pt>
                <c:pt idx="39">
                  <c:v>19770784</c:v>
                </c:pt>
                <c:pt idx="40">
                  <c:v>19916119</c:v>
                </c:pt>
                <c:pt idx="41">
                  <c:v>20080927</c:v>
                </c:pt>
                <c:pt idx="42">
                  <c:v>20249054</c:v>
                </c:pt>
                <c:pt idx="43">
                  <c:v>20376618</c:v>
                </c:pt>
                <c:pt idx="44">
                  <c:v>20645419</c:v>
                </c:pt>
                <c:pt idx="45">
                  <c:v>20737554</c:v>
                </c:pt>
                <c:pt idx="46">
                  <c:v>21147805</c:v>
                </c:pt>
                <c:pt idx="47">
                  <c:v>21207300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PnL!L1</c:f>
              <c:strCache>
                <c:ptCount val="1"/>
                <c:pt idx="0">
                  <c:v>EBITDA_USD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PnL!$A$2:$A$49</c:f>
              <c:strCache>
                <c:ptCount val="48"/>
                <c:pt idx="0">
                  <c:v>2022-10-01</c:v>
                </c:pt>
                <c:pt idx="1">
                  <c:v>2022-11-01</c:v>
                </c:pt>
                <c:pt idx="2">
                  <c:v>2022-12-01</c:v>
                </c:pt>
                <c:pt idx="3">
                  <c:v>2023-01-01</c:v>
                </c:pt>
                <c:pt idx="4">
                  <c:v>2023-02-01</c:v>
                </c:pt>
                <c:pt idx="5">
                  <c:v>2023-03-01</c:v>
                </c:pt>
                <c:pt idx="6">
                  <c:v>2023-04-01</c:v>
                </c:pt>
                <c:pt idx="7">
                  <c:v>2023-05-01</c:v>
                </c:pt>
                <c:pt idx="8">
                  <c:v>2023-06-01</c:v>
                </c:pt>
                <c:pt idx="9">
                  <c:v>2023-07-01</c:v>
                </c:pt>
                <c:pt idx="10">
                  <c:v>2023-08-01</c:v>
                </c:pt>
                <c:pt idx="11">
                  <c:v>2023-09-01</c:v>
                </c:pt>
                <c:pt idx="12">
                  <c:v>2023-10-01</c:v>
                </c:pt>
                <c:pt idx="13">
                  <c:v>2023-11-01</c:v>
                </c:pt>
                <c:pt idx="14">
                  <c:v>2023-12-01</c:v>
                </c:pt>
                <c:pt idx="15">
                  <c:v>2024-01-01</c:v>
                </c:pt>
                <c:pt idx="16">
                  <c:v>2024-02-01</c:v>
                </c:pt>
                <c:pt idx="17">
                  <c:v>2024-03-01</c:v>
                </c:pt>
                <c:pt idx="18">
                  <c:v>2024-04-01</c:v>
                </c:pt>
                <c:pt idx="19">
                  <c:v>2024-05-01</c:v>
                </c:pt>
                <c:pt idx="20">
                  <c:v>2024-06-01</c:v>
                </c:pt>
                <c:pt idx="21">
                  <c:v>2024-07-01</c:v>
                </c:pt>
                <c:pt idx="22">
                  <c:v>2024-08-01</c:v>
                </c:pt>
                <c:pt idx="23">
                  <c:v>2024-09-01</c:v>
                </c:pt>
                <c:pt idx="24">
                  <c:v>2024-10-01</c:v>
                </c:pt>
                <c:pt idx="25">
                  <c:v>2024-11-01</c:v>
                </c:pt>
                <c:pt idx="26">
                  <c:v>2024-12-01</c:v>
                </c:pt>
                <c:pt idx="27">
                  <c:v>2025-01-01</c:v>
                </c:pt>
                <c:pt idx="28">
                  <c:v>2025-02-01</c:v>
                </c:pt>
                <c:pt idx="29">
                  <c:v>2025-03-01</c:v>
                </c:pt>
                <c:pt idx="30">
                  <c:v>2025-04-01</c:v>
                </c:pt>
                <c:pt idx="31">
                  <c:v>2025-05-01</c:v>
                </c:pt>
                <c:pt idx="32">
                  <c:v>2025-06-01</c:v>
                </c:pt>
                <c:pt idx="33">
                  <c:v>2025-07-01</c:v>
                </c:pt>
                <c:pt idx="34">
                  <c:v>2025-08-01</c:v>
                </c:pt>
                <c:pt idx="35">
                  <c:v>2025-09-01</c:v>
                </c:pt>
                <c:pt idx="36">
                  <c:v>2025-10-01</c:v>
                </c:pt>
                <c:pt idx="37">
                  <c:v>2025-11-01</c:v>
                </c:pt>
                <c:pt idx="38">
                  <c:v>2025-12-01</c:v>
                </c:pt>
                <c:pt idx="39">
                  <c:v>2026-01-01</c:v>
                </c:pt>
                <c:pt idx="40">
                  <c:v>2026-02-01</c:v>
                </c:pt>
                <c:pt idx="41">
                  <c:v>2026-03-01</c:v>
                </c:pt>
                <c:pt idx="42">
                  <c:v>2026-04-01</c:v>
                </c:pt>
                <c:pt idx="43">
                  <c:v>2026-05-01</c:v>
                </c:pt>
                <c:pt idx="44">
                  <c:v>2026-06-01</c:v>
                </c:pt>
                <c:pt idx="45">
                  <c:v>2026-07-01</c:v>
                </c:pt>
                <c:pt idx="46">
                  <c:v>2026-08-01</c:v>
                </c:pt>
                <c:pt idx="47">
                  <c:v>2026-09-01</c:v>
                </c:pt>
              </c:strCache>
            </c:strRef>
          </c:cat>
          <c:val>
            <c:numRef>
              <c:f>PnL!$L$2:$L$49</c:f>
              <c:numCache>
                <c:formatCode>General</c:formatCode>
                <c:ptCount val="48"/>
                <c:pt idx="0">
                  <c:v>5863851</c:v>
                </c:pt>
                <c:pt idx="1">
                  <c:v>5988022</c:v>
                </c:pt>
                <c:pt idx="2">
                  <c:v>6169438</c:v>
                </c:pt>
                <c:pt idx="3">
                  <c:v>6146945</c:v>
                </c:pt>
                <c:pt idx="4">
                  <c:v>6328672</c:v>
                </c:pt>
                <c:pt idx="5">
                  <c:v>6045044</c:v>
                </c:pt>
                <c:pt idx="6">
                  <c:v>6307764</c:v>
                </c:pt>
                <c:pt idx="7">
                  <c:v>6220795</c:v>
                </c:pt>
                <c:pt idx="8">
                  <c:v>6227280</c:v>
                </c:pt>
                <c:pt idx="9">
                  <c:v>6275206</c:v>
                </c:pt>
                <c:pt idx="10">
                  <c:v>6251622</c:v>
                </c:pt>
                <c:pt idx="11">
                  <c:v>6073239</c:v>
                </c:pt>
                <c:pt idx="12">
                  <c:v>6208010</c:v>
                </c:pt>
                <c:pt idx="13">
                  <c:v>6437020</c:v>
                </c:pt>
                <c:pt idx="14">
                  <c:v>6227529</c:v>
                </c:pt>
                <c:pt idx="15">
                  <c:v>6377599</c:v>
                </c:pt>
                <c:pt idx="16">
                  <c:v>6469273</c:v>
                </c:pt>
                <c:pt idx="17">
                  <c:v>6383973</c:v>
                </c:pt>
                <c:pt idx="18">
                  <c:v>6413214</c:v>
                </c:pt>
                <c:pt idx="19">
                  <c:v>6594190</c:v>
                </c:pt>
                <c:pt idx="20">
                  <c:v>6492622</c:v>
                </c:pt>
                <c:pt idx="21">
                  <c:v>6644200</c:v>
                </c:pt>
                <c:pt idx="22">
                  <c:v>6570967</c:v>
                </c:pt>
                <c:pt idx="23">
                  <c:v>6349819</c:v>
                </c:pt>
                <c:pt idx="24">
                  <c:v>6474889</c:v>
                </c:pt>
                <c:pt idx="25">
                  <c:v>6848433</c:v>
                </c:pt>
                <c:pt idx="26">
                  <c:v>6714061</c:v>
                </c:pt>
                <c:pt idx="27">
                  <c:v>6889589</c:v>
                </c:pt>
                <c:pt idx="28">
                  <c:v>6675486</c:v>
                </c:pt>
                <c:pt idx="29">
                  <c:v>6882516</c:v>
                </c:pt>
                <c:pt idx="30">
                  <c:v>6739152</c:v>
                </c:pt>
                <c:pt idx="31">
                  <c:v>6838773</c:v>
                </c:pt>
                <c:pt idx="32">
                  <c:v>7157935</c:v>
                </c:pt>
                <c:pt idx="33">
                  <c:v>7236759</c:v>
                </c:pt>
                <c:pt idx="34">
                  <c:v>7126113</c:v>
                </c:pt>
                <c:pt idx="35">
                  <c:v>7325140</c:v>
                </c:pt>
                <c:pt idx="36">
                  <c:v>7249217</c:v>
                </c:pt>
                <c:pt idx="37">
                  <c:v>7528592</c:v>
                </c:pt>
                <c:pt idx="38">
                  <c:v>7415210</c:v>
                </c:pt>
                <c:pt idx="39">
                  <c:v>7588984</c:v>
                </c:pt>
                <c:pt idx="40">
                  <c:v>7799461</c:v>
                </c:pt>
                <c:pt idx="41">
                  <c:v>7686168</c:v>
                </c:pt>
                <c:pt idx="42">
                  <c:v>7949035</c:v>
                </c:pt>
                <c:pt idx="43">
                  <c:v>7885771</c:v>
                </c:pt>
                <c:pt idx="44">
                  <c:v>7846470</c:v>
                </c:pt>
                <c:pt idx="45">
                  <c:v>8173449</c:v>
                </c:pt>
                <c:pt idx="46">
                  <c:v>8221351</c:v>
                </c:pt>
                <c:pt idx="47">
                  <c:v>8146475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782186"/>
        <c:axId val="30108743"/>
      </c:lineChart>
      <c:catAx>
        <c:axId val="297821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108743"/>
        <c:crosses val="autoZero"/>
        <c:auto val="1"/>
        <c:lblAlgn val="ctr"/>
        <c:lblOffset val="100"/>
        <c:noMultiLvlLbl val="0"/>
      </c:catAx>
      <c:valAx>
        <c:axId val="30108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82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Forecast (next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Revenue_EBITDA_Forecast!B5</c:f>
              <c:strCache>
                <c:ptCount val="1"/>
                <c:pt idx="0">
                  <c:v>ForecastRevenue_Trend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Revenue_EBITDA_Forecast!$A$6:$A$17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Revenue_EBITDA_Forecast!$B$6:$B$17</c:f>
              <c:numCache>
                <c:formatCode>General</c:formatCode>
                <c:ptCount val="12"/>
                <c:pt idx="0">
                  <c:v>21355355</c:v>
                </c:pt>
                <c:pt idx="1">
                  <c:v>21529758</c:v>
                </c:pt>
                <c:pt idx="2">
                  <c:v>21704161</c:v>
                </c:pt>
                <c:pt idx="3">
                  <c:v>21878564</c:v>
                </c:pt>
                <c:pt idx="4">
                  <c:v>22052968</c:v>
                </c:pt>
                <c:pt idx="5">
                  <c:v>22227371</c:v>
                </c:pt>
                <c:pt idx="6">
                  <c:v>22401774</c:v>
                </c:pt>
                <c:pt idx="7">
                  <c:v>22576177</c:v>
                </c:pt>
                <c:pt idx="8">
                  <c:v>22750580</c:v>
                </c:pt>
                <c:pt idx="9">
                  <c:v>22924984</c:v>
                </c:pt>
                <c:pt idx="10">
                  <c:v>23099387</c:v>
                </c:pt>
                <c:pt idx="11">
                  <c:v>23273790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Revenue_EBITDA_Forecast!C5</c:f>
              <c:strCache>
                <c:ptCount val="1"/>
                <c:pt idx="0">
                  <c:v>ForecastRevenue_GrowthTarget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Revenue_EBITDA_Forecast!$A$6:$A$17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Revenue_EBITDA_Forecast!$C$6:$C$17</c:f>
              <c:numCache>
                <c:formatCode>General</c:formatCode>
                <c:ptCount val="12"/>
                <c:pt idx="0">
                  <c:v>21343748</c:v>
                </c:pt>
                <c:pt idx="1">
                  <c:v>21481075</c:v>
                </c:pt>
                <c:pt idx="2">
                  <c:v>21619285</c:v>
                </c:pt>
                <c:pt idx="3">
                  <c:v>21758384</c:v>
                </c:pt>
                <c:pt idx="4">
                  <c:v>21898378</c:v>
                </c:pt>
                <c:pt idx="5">
                  <c:v>22039273</c:v>
                </c:pt>
                <c:pt idx="6">
                  <c:v>22181074</c:v>
                </c:pt>
                <c:pt idx="7">
                  <c:v>22323788</c:v>
                </c:pt>
                <c:pt idx="8">
                  <c:v>22467420</c:v>
                </c:pt>
                <c:pt idx="9">
                  <c:v>22611976</c:v>
                </c:pt>
                <c:pt idx="10">
                  <c:v>22757462</c:v>
                </c:pt>
                <c:pt idx="11">
                  <c:v>22903884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Revenue_EBITDA_Forecast!D5</c:f>
              <c:strCache>
                <c:ptCount val="1"/>
                <c:pt idx="0">
                  <c:v>ForecastRevenue_Blended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Revenue_EBITDA_Forecast!$A$6:$A$17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Revenue_EBITDA_Forecast!$D$6:$D$17</c:f>
              <c:numCache>
                <c:formatCode>General</c:formatCode>
                <c:ptCount val="12"/>
                <c:pt idx="0">
                  <c:v>21349552</c:v>
                </c:pt>
                <c:pt idx="1">
                  <c:v>21505416</c:v>
                </c:pt>
                <c:pt idx="2">
                  <c:v>21661723</c:v>
                </c:pt>
                <c:pt idx="3">
                  <c:v>21818474</c:v>
                </c:pt>
                <c:pt idx="4">
                  <c:v>21975673</c:v>
                </c:pt>
                <c:pt idx="5">
                  <c:v>22133322</c:v>
                </c:pt>
                <c:pt idx="6">
                  <c:v>22291424</c:v>
                </c:pt>
                <c:pt idx="7">
                  <c:v>22449982</c:v>
                </c:pt>
                <c:pt idx="8">
                  <c:v>22609000</c:v>
                </c:pt>
                <c:pt idx="9">
                  <c:v>22768480</c:v>
                </c:pt>
                <c:pt idx="10">
                  <c:v>22928424</c:v>
                </c:pt>
                <c:pt idx="11">
                  <c:v>23088837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Revenue_EBITDA_Forecast!E5</c:f>
              <c:strCache>
                <c:ptCount val="1"/>
                <c:pt idx="0">
                  <c:v>ForecastEBITDA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Revenue_EBITDA_Forecast!$A$6:$A$17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Revenue_EBITDA_Forecast!$E$6:$E$17</c:f>
              <c:numCache>
                <c:formatCode>General</c:formatCode>
                <c:ptCount val="12"/>
                <c:pt idx="0">
                  <c:v>8230430</c:v>
                </c:pt>
                <c:pt idx="1">
                  <c:v>8290517</c:v>
                </c:pt>
                <c:pt idx="2">
                  <c:v>8350775</c:v>
                </c:pt>
                <c:pt idx="3">
                  <c:v>8411204</c:v>
                </c:pt>
                <c:pt idx="4">
                  <c:v>8471805</c:v>
                </c:pt>
                <c:pt idx="5">
                  <c:v>8532580</c:v>
                </c:pt>
                <c:pt idx="6">
                  <c:v>8593530</c:v>
                </c:pt>
                <c:pt idx="7">
                  <c:v>8654655</c:v>
                </c:pt>
                <c:pt idx="8">
                  <c:v>8715958</c:v>
                </c:pt>
                <c:pt idx="9">
                  <c:v>8777439</c:v>
                </c:pt>
                <c:pt idx="10">
                  <c:v>8839099</c:v>
                </c:pt>
                <c:pt idx="11">
                  <c:v>8900939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248781"/>
        <c:axId val="24458967"/>
      </c:lineChart>
      <c:catAx>
        <c:axId val="552487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58967"/>
        <c:crosses val="autoZero"/>
        <c:auto val="1"/>
        <c:lblAlgn val="ctr"/>
        <c:lblOffset val="100"/>
        <c:noMultiLvlLbl val="0"/>
      </c:catAx>
      <c:valAx>
        <c:axId val="24458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487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Projected Cash Balance (next 12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Cashflow_Forecast!C5</c:f>
              <c:strCache>
                <c:ptCount val="1"/>
                <c:pt idx="0">
                  <c:v>ProjectedCashBalance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Cashflow_Forecast!$A$6:$A$17</c:f>
              <c:strCache>
                <c:ptCount val="12"/>
                <c:pt idx="0">
                  <c:v>2026-10-01</c:v>
                </c:pt>
                <c:pt idx="1">
                  <c:v>2026-11-01</c:v>
                </c:pt>
                <c:pt idx="2">
                  <c:v>2026-12-01</c:v>
                </c:pt>
                <c:pt idx="3">
                  <c:v>2027-01-01</c:v>
                </c:pt>
                <c:pt idx="4">
                  <c:v>2027-02-01</c:v>
                </c:pt>
                <c:pt idx="5">
                  <c:v>2027-03-01</c:v>
                </c:pt>
                <c:pt idx="6">
                  <c:v>2027-04-01</c:v>
                </c:pt>
                <c:pt idx="7">
                  <c:v>2027-05-01</c:v>
                </c:pt>
                <c:pt idx="8">
                  <c:v>2027-06-01</c:v>
                </c:pt>
                <c:pt idx="9">
                  <c:v>2027-07-01</c:v>
                </c:pt>
                <c:pt idx="10">
                  <c:v>2027-08-01</c:v>
                </c:pt>
                <c:pt idx="11">
                  <c:v>2027-09-01</c:v>
                </c:pt>
              </c:strCache>
            </c:strRef>
          </c:cat>
          <c:val>
            <c:numRef>
              <c:f>Cashflow_Forecast!$C$6:$C$17</c:f>
              <c:numCache>
                <c:formatCode>General</c:formatCode>
                <c:ptCount val="12"/>
                <c:pt idx="0">
                  <c:v>47390742</c:v>
                </c:pt>
                <c:pt idx="1">
                  <c:v>50260088</c:v>
                </c:pt>
                <c:pt idx="2">
                  <c:v>53210424</c:v>
                </c:pt>
                <c:pt idx="3">
                  <c:v>56241751</c:v>
                </c:pt>
                <c:pt idx="4">
                  <c:v>59354068</c:v>
                </c:pt>
                <c:pt idx="5">
                  <c:v>62547376</c:v>
                </c:pt>
                <c:pt idx="6">
                  <c:v>65821674</c:v>
                </c:pt>
                <c:pt idx="7">
                  <c:v>69176963</c:v>
                </c:pt>
                <c:pt idx="8">
                  <c:v>72613242</c:v>
                </c:pt>
                <c:pt idx="9">
                  <c:v>76130511</c:v>
                </c:pt>
                <c:pt idx="10">
                  <c:v>79728771</c:v>
                </c:pt>
                <c:pt idx="11">
                  <c:v>83408021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824110"/>
        <c:axId val="88329920"/>
      </c:lineChart>
      <c:catAx>
        <c:axId val="898241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29920"/>
        <c:crosses val="autoZero"/>
        <c:auto val="1"/>
        <c:lblAlgn val="ctr"/>
        <c:lblOffset val="100"/>
        <c:noMultiLvlLbl val="0"/>
      </c:catAx>
      <c:valAx>
        <c:axId val="883299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241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50</xdr:row>
      <xdr:rowOff>21240</xdr:rowOff>
    </xdr:from>
    <xdr:to>
      <xdr:col>6</xdr:col>
      <xdr:colOff>1746720</xdr:colOff>
      <xdr:row>69</xdr:row>
      <xdr:rowOff>1080</xdr:rowOff>
    </xdr:to>
    <xdr:graphicFrame>
      <xdr:nvGraphicFramePr>
        <xdr:cNvPr id="0" name="Chart 1"/>
        <xdr:cNvGraphicFramePr/>
      </xdr:nvGraphicFramePr>
      <xdr:xfrm>
        <a:off x="0" y="9715680"/>
        <a:ext cx="93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20880</xdr:rowOff>
    </xdr:from>
    <xdr:to>
      <xdr:col>6</xdr:col>
      <xdr:colOff>196200</xdr:colOff>
      <xdr:row>37</xdr:row>
      <xdr:rowOff>720</xdr:rowOff>
    </xdr:to>
    <xdr:graphicFrame>
      <xdr:nvGraphicFramePr>
        <xdr:cNvPr id="1" name="Chart 1"/>
        <xdr:cNvGraphicFramePr/>
      </xdr:nvGraphicFramePr>
      <xdr:xfrm>
        <a:off x="0" y="3638520"/>
        <a:ext cx="935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10</xdr:col>
      <xdr:colOff>411480</xdr:colOff>
      <xdr:row>36</xdr:row>
      <xdr:rowOff>720</xdr:rowOff>
    </xdr:to>
    <xdr:graphicFrame>
      <xdr:nvGraphicFramePr>
        <xdr:cNvPr id="2" name="Chart 1"/>
        <xdr:cNvGraphicFramePr/>
      </xdr:nvGraphicFramePr>
      <xdr:xfrm>
        <a:off x="0" y="3638520"/>
        <a:ext cx="86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BalanceSheet" displayName="tbl_BalanceSheet" ref="A1:R49" headerRowCount="1" totalsRowCount="0" totalsRowShown="0">
  <autoFilter ref="A1:R49"/>
  <tableColumns count="18">
    <tableColumn id="1" name="Month"/>
    <tableColumn id="2" name="CashUSD"/>
    <tableColumn id="3" name="AccountsReceivableUSD"/>
    <tableColumn id="4" name="OtherCurrentAssetsUSD"/>
    <tableColumn id="5" name="CurrentAssetsUSD"/>
    <tableColumn id="6" name="PPE_NetUSD"/>
    <tableColumn id="7" name="IntangiblesUSD"/>
    <tableColumn id="8" name="NonCurrentAssetsUSD"/>
    <tableColumn id="9" name="TotalAssetsUSD"/>
    <tableColumn id="10" name="AccountsPayableUSD"/>
    <tableColumn id="11" name="CurrentPortionDebtUSD"/>
    <tableColumn id="12" name="CurrentLiabilitiesUSD"/>
    <tableColumn id="13" name="LongTermDebtUSD"/>
    <tableColumn id="14" name="TotalLiabilitiesUSD"/>
    <tableColumn id="15" name="CommonEquityUSD"/>
    <tableColumn id="16" name="RetainedEarningsUSD"/>
    <tableColumn id="17" name="TotalEquityUSD"/>
    <tableColumn id="18" name="BalanceCheckUSD"/>
  </tableColumns>
</table>
</file>

<file path=xl/tables/table2.xml><?xml version="1.0" encoding="utf-8"?>
<table xmlns="http://schemas.openxmlformats.org/spreadsheetml/2006/main" id="2" name="tbl_Budget" displayName="tbl_Budget" ref="A1:F289" headerRowCount="1" totalsRowCount="0" totalsRowShown="0">
  <autoFilter ref="A1:F289"/>
  <tableColumns count="6">
    <tableColumn id="1" name="Month"/>
    <tableColumn id="2" name="CostCenter"/>
    <tableColumn id="3" name="BudgetedUSD"/>
    <tableColumn id="4" name="ActualUSD"/>
    <tableColumn id="5" name="VarianceUSD"/>
    <tableColumn id="6" name="VariancePct"/>
  </tableColumns>
</table>
</file>

<file path=xl/tables/table3.xml><?xml version="1.0" encoding="utf-8"?>
<table xmlns="http://schemas.openxmlformats.org/spreadsheetml/2006/main" id="3" name="tbl_BudgetRisk" displayName="tbl_BudgetRisk" ref="A5:G17" headerRowCount="1" totalsRowCount="0" totalsRowShown="0">
  <autoFilter ref="A5:G17"/>
  <tableColumns count="7">
    <tableColumn id="1" name="CostCenter"/>
    <tableColumn id="2" name="AvgVariancePct"/>
    <tableColumn id="3" name="LatestVariancePct"/>
    <tableColumn id="4" name="AvgMonthlyBudgetUSD"/>
    <tableColumn id="5" name="BudgetRiskScore"/>
    <tableColumn id="6" name="RiskBand"/>
    <tableColumn id="7" name="TopRiskDrivers"/>
  </tableColumns>
</table>
</file>

<file path=xl/tables/table4.xml><?xml version="1.0" encoding="utf-8"?>
<table xmlns="http://schemas.openxmlformats.org/spreadsheetml/2006/main" id="4" name="tbl_Capex" displayName="tbl_Capex" ref="A1:I289" headerRowCount="1" totalsRowCount="0" totalsRowShown="0">
  <autoFilter ref="A1:I289"/>
  <tableColumns count="9">
    <tableColumn id="1" name="ProjectID"/>
    <tableColumn id="2" name="Month"/>
    <tableColumn id="3" name="Category"/>
    <tableColumn id="4" name="CapexType"/>
    <tableColumn id="5" name="Region"/>
    <tableColumn id="6" name="PlannedBudgetUSD"/>
    <tableColumn id="7" name="ActualSpendUSD"/>
    <tableColumn id="8" name="VarianceUSD"/>
    <tableColumn id="9" name="Status"/>
  </tableColumns>
</table>
</file>

<file path=xl/tables/table5.xml><?xml version="1.0" encoding="utf-8"?>
<table xmlns="http://schemas.openxmlformats.org/spreadsheetml/2006/main" id="5" name="tbl_CapexPlan" displayName="tbl_CapexPlan" ref="A5:D77" headerRowCount="1" totalsRowCount="0" totalsRowShown="0">
  <autoFilter ref="A5:D77"/>
  <tableColumns count="4">
    <tableColumn id="1" name="Month"/>
    <tableColumn id="2" name="Category"/>
    <tableColumn id="3" name="CapexType"/>
    <tableColumn id="4" name="PlannedCapexUSD"/>
  </tableColumns>
</table>
</file>

<file path=xl/tables/table6.xml><?xml version="1.0" encoding="utf-8"?>
<table xmlns="http://schemas.openxmlformats.org/spreadsheetml/2006/main" id="6" name="tbl_CashFlow" displayName="tbl_CashFlow" ref="A1:H48" headerRowCount="1" totalsRowCount="0" totalsRowShown="0">
  <autoFilter ref="A1:H48"/>
  <tableColumns count="8">
    <tableColumn id="1" name="Month"/>
    <tableColumn id="2" name="CashFromOperationsUSD"/>
    <tableColumn id="3" name="CashFromInvestingUSD"/>
    <tableColumn id="4" name="CashFromFinancingUSD"/>
    <tableColumn id="5" name="NetChangeInCashUSD"/>
    <tableColumn id="6" name="EndingCashUSD"/>
    <tableColumn id="7" name="FreeCashFlowUSD"/>
    <tableColumn id="8" name="DividendsPaidUSD"/>
  </tableColumns>
</table>
</file>

<file path=xl/tables/table7.xml><?xml version="1.0" encoding="utf-8"?>
<table xmlns="http://schemas.openxmlformats.org/spreadsheetml/2006/main" id="7" name="tbl_CashflowForecast" displayName="tbl_CashflowForecast" ref="A5:C17" headerRowCount="1" totalsRowCount="0" totalsRowShown="0">
  <autoFilter ref="A5:C17"/>
  <tableColumns count="3">
    <tableColumn id="1" name="Month"/>
    <tableColumn id="2" name="ForecastFreeCashFlow"/>
    <tableColumn id="3" name="ProjectedCashBalance"/>
  </tableColumns>
</table>
</file>

<file path=xl/tables/table8.xml><?xml version="1.0" encoding="utf-8"?>
<table xmlns="http://schemas.openxmlformats.org/spreadsheetml/2006/main" id="8" name="tbl_CustEcon" displayName="tbl_CustEcon" ref="A1:I6" headerRowCount="1" totalsRowCount="0" totalsRowShown="0">
  <autoFilter ref="A1:I6"/>
  <tableColumns count="9">
    <tableColumn id="1" name="Segment"/>
    <tableColumn id="2" name="ARPU_USD"/>
    <tableColumn id="3" name="GrossMarginPct"/>
    <tableColumn id="4" name="MonthlyChurnRatePct"/>
    <tableColumn id="5" name="AvgCustomerLifetimeMonths"/>
    <tableColumn id="6" name="CAC_USD"/>
    <tableColumn id="7" name="LTV_USD"/>
    <tableColumn id="8" name="LTV_CAC_Ratio"/>
    <tableColumn id="9" name="PaybackPeriodMonths"/>
  </tableColumns>
</table>
</file>

<file path=xl/tables/table9.xml><?xml version="1.0" encoding="utf-8"?>
<table xmlns="http://schemas.openxmlformats.org/spreadsheetml/2006/main" id="9" name="tbl_Debt" displayName="tbl_Debt" ref="A1:H193" headerRowCount="1" totalsRowCount="0" totalsRowShown="0">
  <autoFilter ref="A1:H193"/>
  <tableColumns count="8">
    <tableColumn id="1" name="TrancheID"/>
    <tableColumn id="2" name="Lender"/>
    <tableColumn id="3" name="Month"/>
    <tableColumn id="4" name="InterestRatePct"/>
    <tableColumn id="5" name="AmortizationType"/>
    <tableColumn id="6" name="OriginalPrincipalUSD"/>
    <tableColumn id="7" name="OutstandingBalanceUSD"/>
    <tableColumn id="8" name="MaturityDate"/>
  </tableColumns>
</table>
</file>

<file path=xl/tables/table10.xml><?xml version="1.0" encoding="utf-8"?>
<table xmlns="http://schemas.openxmlformats.org/spreadsheetml/2006/main" id="10" name="tbl_PnL" displayName="tbl_PnL" ref="A1:T49" headerRowCount="1" totalsRowCount="0" totalsRowShown="0">
  <autoFilter ref="A1:T49"/>
  <tableColumns count="20">
    <tableColumn id="1" name="Month"/>
    <tableColumn id="2" name="RevenueUSD"/>
    <tableColumn id="3" name="COGSUSD"/>
    <tableColumn id="4" name="GrossProfitUSD"/>
    <tableColumn id="5" name="OPEX_Network_Operations"/>
    <tableColumn id="6" name="OPEX_Customer_Care_and_Support"/>
    <tableColumn id="7" name="OPEX_Sales_and_Marketing"/>
    <tableColumn id="8" name="OPEX_General_and_Administrative"/>
    <tableColumn id="9" name="OPEX_Personnel_(non-COGS)"/>
    <tableColumn id="10" name="OPEX_IT_and_Systems"/>
    <tableColumn id="11" name="TotalOPEXUSD"/>
    <tableColumn id="12" name="EBITDA_USD"/>
    <tableColumn id="13" name="EBITDA_MarginPct"/>
    <tableColumn id="14" name="DepreciationAmortizationUSD"/>
    <tableColumn id="15" name="EBIT_USD"/>
    <tableColumn id="16" name="InterestExpenseUSD"/>
    <tableColumn id="17" name="PretaxIncomeUSD"/>
    <tableColumn id="18" name="TaxExpenseUSD"/>
    <tableColumn id="19" name="NetIncomeUSD"/>
    <tableColumn id="20" name="NetMarginPct"/>
  </tableColumns>
</table>
</file>

<file path=xl/tables/table11.xml><?xml version="1.0" encoding="utf-8"?>
<table xmlns="http://schemas.openxmlformats.org/spreadsheetml/2006/main" id="11" name="tbl_Revenue" displayName="tbl_Revenue" ref="A1:F241" headerRowCount="1" totalsRowCount="0" totalsRowShown="0">
  <autoFilter ref="A1:F241"/>
  <tableColumns count="6">
    <tableColumn id="1" name="Month"/>
    <tableColumn id="2" name="Segment"/>
    <tableColumn id="3" name="Subscribers"/>
    <tableColumn id="4" name="ARPU_USD"/>
    <tableColumn id="5" name="RevenueUSD"/>
    <tableColumn id="6" name="GrossMarginPct"/>
  </tableColumns>
</table>
</file>

<file path=xl/tables/table12.xml><?xml version="1.0" encoding="utf-8"?>
<table xmlns="http://schemas.openxmlformats.org/spreadsheetml/2006/main" id="12" name="tbl_RevenueForecast" displayName="tbl_RevenueForecast" ref="A5:F17" headerRowCount="1" totalsRowCount="0" totalsRowShown="0">
  <autoFilter ref="A5:F17"/>
  <tableColumns count="6">
    <tableColumn id="1" name="Month"/>
    <tableColumn id="2" name="ForecastRevenue_Trend"/>
    <tableColumn id="3" name="ForecastRevenue_GrowthTarget"/>
    <tableColumn id="4" name="ForecastRevenue_Blended"/>
    <tableColumn id="5" name="ForecastEBITDA"/>
    <tableColumn id="6" name="AssumedEBITDAMarginPc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4"/>
    <col collapsed="false" customWidth="true" hidden="false" outlineLevel="0" max="4" min="4" style="1" width="42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/>
      <c r="C2" s="3"/>
      <c r="D2" s="3"/>
    </row>
    <row r="3" customFormat="false" ht="6" hidden="false" customHeight="true" outlineLevel="0" collapsed="false"/>
    <row r="5" customFormat="false" ht="15" hidden="false" customHeight="false" outlineLevel="0" collapsed="false">
      <c r="A5" s="4" t="s">
        <v>2</v>
      </c>
      <c r="D5" s="4" t="s">
        <v>3</v>
      </c>
    </row>
    <row r="6" customFormat="false" ht="15" hidden="false" customHeight="false" outlineLevel="0" collapsed="false">
      <c r="A6" s="5" t="s">
        <v>4</v>
      </c>
      <c r="B6" s="6" t="n">
        <f aca="false">INDEX(tbl_PnL[RevenueUSD],48)</f>
        <v>21207300</v>
      </c>
      <c r="D6" s="5" t="s">
        <v>5</v>
      </c>
      <c r="E6" s="6" t="n">
        <f aca="false">SUM(OFFSET(tbl_Capex[ActualSpendUSD],COUNTA(tbl_Capex[ProjectID])-72,0,72,1))</f>
        <v>38163456</v>
      </c>
    </row>
    <row r="7" customFormat="false" ht="15" hidden="false" customHeight="false" outlineLevel="0" collapsed="false">
      <c r="A7" s="5" t="s">
        <v>6</v>
      </c>
      <c r="B7" s="6" t="n">
        <f aca="false">INDEX(tbl_PnL[RevenueUSD],48)*12</f>
        <v>254487600</v>
      </c>
      <c r="D7" s="5" t="s">
        <v>7</v>
      </c>
      <c r="E7" s="7" t="n">
        <f aca="false">SUM(OFFSET(tbl_Capex[ActualSpendUSD],COUNTA(tbl_Capex[ProjectID])-72,0,72,1))/(AVERAGE(OFFSET(tbl_PnL[RevenueUSD],COUNTA(tbl_PnL[Month])-12,0,12,1))*12)</f>
        <v>0.157392342715436</v>
      </c>
    </row>
    <row r="8" customFormat="false" ht="15" hidden="false" customHeight="false" outlineLevel="0" collapsed="false">
      <c r="A8" s="5" t="s">
        <v>8</v>
      </c>
      <c r="B8" s="7" t="n">
        <f aca="false">INDEX(tbl_PnL[EBITDA_MarginPct],48)</f>
        <v>0.3841</v>
      </c>
      <c r="D8" s="5" t="s">
        <v>9</v>
      </c>
      <c r="E8" s="6" t="n">
        <f aca="false">INDEX(tbl_CashFlow[FreeCashFlowUSD],COUNTA(tbl_CashFlow[Month]))</f>
        <v>2659054</v>
      </c>
    </row>
    <row r="9" customFormat="false" ht="15" hidden="false" customHeight="false" outlineLevel="0" collapsed="false">
      <c r="A9" s="5" t="s">
        <v>10</v>
      </c>
      <c r="B9" s="7" t="n">
        <f aca="false">INDEX(tbl_PnL[NetMarginPct],48)</f>
        <v>0.1959</v>
      </c>
      <c r="D9" s="5" t="s">
        <v>11</v>
      </c>
      <c r="E9" s="8" t="n">
        <f aca="false">AVERAGE(tbl_Debt[InterestRatePct])</f>
        <v>0.065125</v>
      </c>
    </row>
    <row r="10" customFormat="false" ht="15" hidden="false" customHeight="false" outlineLevel="0" collapsed="false">
      <c r="A10" s="5" t="s">
        <v>12</v>
      </c>
      <c r="B10" s="7" t="n">
        <f aca="false">AVERAGE(OFFSET(tbl_PnL[EBITDA_MarginPct],COUNTA(tbl_PnL[Month])-12,0,12,1))</f>
        <v>0.385508333333333</v>
      </c>
      <c r="D10" s="5" t="s">
        <v>13</v>
      </c>
      <c r="E10" s="6" t="n">
        <f aca="false">SUMIFS(tbl_Debt[OutstandingBalanceUSD],tbl_Debt[Month],INDEX(tbl_Debt[Month],COUNTA(tbl_Debt[Month])))</f>
        <v>160789591</v>
      </c>
    </row>
    <row r="11" customFormat="false" ht="15" hidden="false" customHeight="false" outlineLevel="0" collapsed="false">
      <c r="A11" s="5" t="s">
        <v>14</v>
      </c>
      <c r="B11" s="6" t="n">
        <f aca="false">INDEX(tbl_BalanceSheet[TotalAssetsUSD],48)</f>
        <v>489854848</v>
      </c>
      <c r="D11" s="5" t="s">
        <v>15</v>
      </c>
      <c r="E11" s="7" t="n">
        <f aca="false">AVERAGE(tbl_Budget[VariancePct])</f>
        <v>0.000146527777777778</v>
      </c>
    </row>
    <row r="12" customFormat="false" ht="15" hidden="false" customHeight="false" outlineLevel="0" collapsed="false">
      <c r="A12" s="5" t="s">
        <v>16</v>
      </c>
      <c r="B12" s="6" t="n">
        <f aca="false">INDEX(tbl_BalanceSheet[CashUSD],48)</f>
        <v>44602386</v>
      </c>
      <c r="D12" s="5" t="s">
        <v>17</v>
      </c>
      <c r="E12" s="6" t="n">
        <f aca="false">SUM(tbl_Budget[BudgetedUSD])</f>
        <v>164441763</v>
      </c>
    </row>
    <row r="13" customFormat="false" ht="15" hidden="false" customHeight="false" outlineLevel="0" collapsed="false">
      <c r="A13" s="5" t="s">
        <v>18</v>
      </c>
      <c r="B13" s="6" t="n">
        <f aca="false">INDEX(tbl_BalanceSheet[LongTermDebtUSD],48)+INDEX(tbl_BalanceSheet[CurrentPortionDebtUSD],48)</f>
        <v>160789591</v>
      </c>
      <c r="D13" s="5" t="s">
        <v>19</v>
      </c>
      <c r="E13" s="6" t="n">
        <f aca="false">SUM(tbl_Budget[ActualUSD])</f>
        <v>164549574</v>
      </c>
    </row>
    <row r="14" customFormat="false" ht="15" hidden="false" customHeight="false" outlineLevel="0" collapsed="false">
      <c r="A14" s="5" t="s">
        <v>20</v>
      </c>
      <c r="B14" s="9" t="n">
        <f aca="false">(INDEX(tbl_BalanceSheet[LongTermDebtUSD],48)+INDEX(tbl_BalanceSheet[CurrentPortionDebtUSD],48)-INDEX(tbl_BalanceSheet[CashUSD],48))/(INDEX(tbl_PnL[EBITDA_USD],48)*12)</f>
        <v>1.18852228520106</v>
      </c>
      <c r="D14" s="5" t="s">
        <v>21</v>
      </c>
      <c r="E14" s="9" t="n">
        <f aca="false">AVERAGE(tbl_CustEcon[LTV_CAC_Ratio])</f>
        <v>25.434</v>
      </c>
    </row>
    <row r="15" customFormat="false" ht="15" hidden="false" customHeight="false" outlineLevel="0" collapsed="false">
      <c r="A15" s="5" t="s">
        <v>22</v>
      </c>
      <c r="B15" s="9" t="n">
        <f aca="false">INDEX(tbl_BalanceSheet[CurrentAssetsUSD],48)/INDEX(tbl_BalanceSheet[CurrentLiabilitiesUSD],48)</f>
        <v>4.77276984126886</v>
      </c>
      <c r="D15" s="5" t="s">
        <v>23</v>
      </c>
      <c r="E15" s="10" t="n">
        <f aca="false">AVERAGE(tbl_CustEcon[PaybackPeriodMonths])</f>
        <v>10.96</v>
      </c>
    </row>
    <row r="18" customFormat="false" ht="15" hidden="false" customHeight="false" outlineLevel="0" collapsed="false">
      <c r="A18" s="3" t="s">
        <v>24</v>
      </c>
      <c r="B18" s="3"/>
      <c r="C18" s="3"/>
      <c r="D18" s="3"/>
      <c r="E18" s="3"/>
    </row>
  </sheetData>
  <mergeCells count="3">
    <mergeCell ref="A1:D1"/>
    <mergeCell ref="A2:D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25.5" hidden="false" customHeight="true" outlineLevel="0" collapsed="false">
      <c r="A1" s="2" t="s">
        <v>25</v>
      </c>
      <c r="B1" s="2"/>
    </row>
    <row r="2" customFormat="false" ht="15" hidden="false" customHeight="false" outlineLevel="0" collapsed="false">
      <c r="A2" s="3" t="s">
        <v>26</v>
      </c>
      <c r="B2" s="3"/>
    </row>
    <row r="3" customFormat="false" ht="6" hidden="false" customHeight="true" outlineLevel="0" collapsed="false"/>
    <row r="4" customFormat="false" ht="31.5" hidden="false" customHeight="true" outlineLevel="0" collapsed="false">
      <c r="A4" s="11" t="s">
        <v>27</v>
      </c>
      <c r="B4" s="12" t="s">
        <v>28</v>
      </c>
    </row>
    <row r="5" customFormat="false" ht="31.5" hidden="false" customHeight="true" outlineLevel="0" collapsed="false">
      <c r="A5" s="11" t="s">
        <v>29</v>
      </c>
      <c r="B5" s="12" t="s">
        <v>30</v>
      </c>
    </row>
    <row r="6" customFormat="false" ht="31.5" hidden="false" customHeight="true" outlineLevel="0" collapsed="false">
      <c r="A6" s="11" t="s">
        <v>31</v>
      </c>
      <c r="B6" s="12" t="s">
        <v>32</v>
      </c>
    </row>
    <row r="7" customFormat="false" ht="31.5" hidden="false" customHeight="true" outlineLevel="0" collapsed="false">
      <c r="A7" s="11" t="s">
        <v>33</v>
      </c>
      <c r="B7" s="12" t="s">
        <v>34</v>
      </c>
    </row>
    <row r="8" customFormat="false" ht="31.5" hidden="false" customHeight="true" outlineLevel="0" collapsed="false">
      <c r="A8" s="11" t="s">
        <v>35</v>
      </c>
      <c r="B8" s="12" t="s">
        <v>36</v>
      </c>
    </row>
    <row r="9" customFormat="false" ht="31.5" hidden="false" customHeight="true" outlineLevel="0" collapsed="false">
      <c r="A9" s="11" t="s">
        <v>37</v>
      </c>
      <c r="B9" s="12" t="s">
        <v>38</v>
      </c>
    </row>
    <row r="10" customFormat="false" ht="31.5" hidden="false" customHeight="true" outlineLevel="0" collapsed="false">
      <c r="A10" s="11" t="s">
        <v>39</v>
      </c>
      <c r="B10" s="12" t="s">
        <v>40</v>
      </c>
    </row>
    <row r="11" customFormat="false" ht="31.5" hidden="false" customHeight="true" outlineLevel="0" collapsed="false">
      <c r="A11" s="11" t="s">
        <v>41</v>
      </c>
      <c r="B11" s="12" t="s">
        <v>42</v>
      </c>
    </row>
    <row r="12" customFormat="false" ht="31.5" hidden="false" customHeight="true" outlineLevel="0" collapsed="false">
      <c r="A12" s="11" t="s">
        <v>43</v>
      </c>
      <c r="B12" s="12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6"/>
  </cols>
  <sheetData>
    <row r="1" customFormat="false" ht="28.35" hidden="false" customHeight="false" outlineLevel="0" collapsed="false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  <c r="F1" s="13" t="s">
        <v>50</v>
      </c>
    </row>
    <row r="2" customFormat="false" ht="15" hidden="false" customHeight="false" outlineLevel="0" collapsed="false">
      <c r="A2" s="1" t="s">
        <v>51</v>
      </c>
      <c r="B2" s="1" t="s">
        <v>52</v>
      </c>
      <c r="C2" s="1" t="n">
        <v>305659</v>
      </c>
      <c r="D2" s="1" t="n">
        <v>24.26</v>
      </c>
      <c r="E2" s="1" t="n">
        <v>7415123</v>
      </c>
      <c r="F2" s="1" t="n">
        <v>0.6772</v>
      </c>
    </row>
    <row r="3" customFormat="false" ht="15" hidden="false" customHeight="false" outlineLevel="0" collapsed="false">
      <c r="A3" s="1" t="s">
        <v>53</v>
      </c>
      <c r="B3" s="1" t="s">
        <v>52</v>
      </c>
      <c r="C3" s="1" t="n">
        <v>310285</v>
      </c>
      <c r="D3" s="1" t="n">
        <v>24.32</v>
      </c>
      <c r="E3" s="1" t="n">
        <v>7545748</v>
      </c>
      <c r="F3" s="1" t="n">
        <v>0.6778</v>
      </c>
    </row>
    <row r="4" customFormat="false" ht="15" hidden="false" customHeight="false" outlineLevel="0" collapsed="false">
      <c r="A4" s="1" t="s">
        <v>54</v>
      </c>
      <c r="B4" s="1" t="s">
        <v>52</v>
      </c>
      <c r="C4" s="1" t="n">
        <v>312065</v>
      </c>
      <c r="D4" s="1" t="n">
        <v>24.69</v>
      </c>
      <c r="E4" s="1" t="n">
        <v>7704109</v>
      </c>
      <c r="F4" s="1" t="n">
        <v>0.6855</v>
      </c>
    </row>
    <row r="5" customFormat="false" ht="15" hidden="false" customHeight="false" outlineLevel="0" collapsed="false">
      <c r="A5" s="1" t="s">
        <v>55</v>
      </c>
      <c r="B5" s="1" t="s">
        <v>52</v>
      </c>
      <c r="C5" s="1" t="n">
        <v>312248</v>
      </c>
      <c r="D5" s="1" t="n">
        <v>24.7</v>
      </c>
      <c r="E5" s="1" t="n">
        <v>7712767</v>
      </c>
      <c r="F5" s="1" t="n">
        <v>0.6676</v>
      </c>
    </row>
    <row r="6" customFormat="false" ht="15" hidden="false" customHeight="false" outlineLevel="0" collapsed="false">
      <c r="A6" s="1" t="s">
        <v>56</v>
      </c>
      <c r="B6" s="1" t="s">
        <v>52</v>
      </c>
      <c r="C6" s="1" t="n">
        <v>314083</v>
      </c>
      <c r="D6" s="1" t="n">
        <v>24.52</v>
      </c>
      <c r="E6" s="1" t="n">
        <v>7700594</v>
      </c>
      <c r="F6" s="1" t="n">
        <v>0.6933</v>
      </c>
    </row>
    <row r="7" customFormat="false" ht="15" hidden="false" customHeight="false" outlineLevel="0" collapsed="false">
      <c r="A7" s="1" t="s">
        <v>57</v>
      </c>
      <c r="B7" s="1" t="s">
        <v>52</v>
      </c>
      <c r="C7" s="1" t="n">
        <v>316255</v>
      </c>
      <c r="D7" s="1" t="n">
        <v>24.49</v>
      </c>
      <c r="E7" s="1" t="n">
        <v>7744696</v>
      </c>
      <c r="F7" s="1" t="n">
        <v>0.6831</v>
      </c>
    </row>
    <row r="8" customFormat="false" ht="15" hidden="false" customHeight="false" outlineLevel="0" collapsed="false">
      <c r="A8" s="1" t="s">
        <v>58</v>
      </c>
      <c r="B8" s="1" t="s">
        <v>52</v>
      </c>
      <c r="C8" s="1" t="n">
        <v>319428</v>
      </c>
      <c r="D8" s="1" t="n">
        <v>24.27</v>
      </c>
      <c r="E8" s="1" t="n">
        <v>7753281</v>
      </c>
      <c r="F8" s="1" t="n">
        <v>0.695</v>
      </c>
    </row>
    <row r="9" customFormat="false" ht="15" hidden="false" customHeight="false" outlineLevel="0" collapsed="false">
      <c r="A9" s="1" t="s">
        <v>59</v>
      </c>
      <c r="B9" s="1" t="s">
        <v>52</v>
      </c>
      <c r="C9" s="1" t="n">
        <v>321690</v>
      </c>
      <c r="D9" s="1" t="n">
        <v>24.51</v>
      </c>
      <c r="E9" s="1" t="n">
        <v>7885659</v>
      </c>
      <c r="F9" s="1" t="n">
        <v>0.6838</v>
      </c>
    </row>
    <row r="10" customFormat="false" ht="15" hidden="false" customHeight="false" outlineLevel="0" collapsed="false">
      <c r="A10" s="1" t="s">
        <v>60</v>
      </c>
      <c r="B10" s="1" t="s">
        <v>52</v>
      </c>
      <c r="C10" s="1" t="n">
        <v>326478</v>
      </c>
      <c r="D10" s="1" t="n">
        <v>23.9</v>
      </c>
      <c r="E10" s="1" t="n">
        <v>7801980</v>
      </c>
      <c r="F10" s="1" t="n">
        <v>0.6749</v>
      </c>
    </row>
    <row r="11" customFormat="false" ht="15" hidden="false" customHeight="false" outlineLevel="0" collapsed="false">
      <c r="A11" s="1" t="s">
        <v>61</v>
      </c>
      <c r="B11" s="1" t="s">
        <v>52</v>
      </c>
      <c r="C11" s="1" t="n">
        <v>331400</v>
      </c>
      <c r="D11" s="1" t="n">
        <v>23.46</v>
      </c>
      <c r="E11" s="1" t="n">
        <v>7774300</v>
      </c>
      <c r="F11" s="1" t="n">
        <v>0.6777</v>
      </c>
    </row>
    <row r="12" customFormat="false" ht="15" hidden="false" customHeight="false" outlineLevel="0" collapsed="false">
      <c r="A12" s="1" t="s">
        <v>62</v>
      </c>
      <c r="B12" s="1" t="s">
        <v>52</v>
      </c>
      <c r="C12" s="1" t="n">
        <v>333813</v>
      </c>
      <c r="D12" s="1" t="n">
        <v>23.34</v>
      </c>
      <c r="E12" s="1" t="n">
        <v>7789842</v>
      </c>
      <c r="F12" s="1" t="n">
        <v>0.6877</v>
      </c>
    </row>
    <row r="13" customFormat="false" ht="15" hidden="false" customHeight="false" outlineLevel="0" collapsed="false">
      <c r="A13" s="1" t="s">
        <v>63</v>
      </c>
      <c r="B13" s="1" t="s">
        <v>52</v>
      </c>
      <c r="C13" s="1" t="n">
        <v>336607</v>
      </c>
      <c r="D13" s="1" t="n">
        <v>22.75</v>
      </c>
      <c r="E13" s="1" t="n">
        <v>7659164</v>
      </c>
      <c r="F13" s="1" t="n">
        <v>0.6801</v>
      </c>
    </row>
    <row r="14" customFormat="false" ht="15" hidden="false" customHeight="false" outlineLevel="0" collapsed="false">
      <c r="A14" s="1" t="s">
        <v>64</v>
      </c>
      <c r="B14" s="1" t="s">
        <v>52</v>
      </c>
      <c r="C14" s="1" t="n">
        <v>340483</v>
      </c>
      <c r="D14" s="1" t="n">
        <v>23.01</v>
      </c>
      <c r="E14" s="1" t="n">
        <v>7835014</v>
      </c>
      <c r="F14" s="1" t="n">
        <v>0.6825</v>
      </c>
    </row>
    <row r="15" customFormat="false" ht="15" hidden="false" customHeight="false" outlineLevel="0" collapsed="false">
      <c r="A15" s="1" t="s">
        <v>65</v>
      </c>
      <c r="B15" s="1" t="s">
        <v>52</v>
      </c>
      <c r="C15" s="1" t="n">
        <v>344058</v>
      </c>
      <c r="D15" s="1" t="n">
        <v>23.42</v>
      </c>
      <c r="E15" s="1" t="n">
        <v>8056589</v>
      </c>
      <c r="F15" s="1" t="n">
        <v>0.682</v>
      </c>
    </row>
    <row r="16" customFormat="false" ht="15" hidden="false" customHeight="false" outlineLevel="0" collapsed="false">
      <c r="A16" s="1" t="s">
        <v>66</v>
      </c>
      <c r="B16" s="1" t="s">
        <v>52</v>
      </c>
      <c r="C16" s="1" t="n">
        <v>350146</v>
      </c>
      <c r="D16" s="1" t="n">
        <v>23.21</v>
      </c>
      <c r="E16" s="1" t="n">
        <v>8126991</v>
      </c>
      <c r="F16" s="1" t="n">
        <v>0.6823</v>
      </c>
    </row>
    <row r="17" customFormat="false" ht="15" hidden="false" customHeight="false" outlineLevel="0" collapsed="false">
      <c r="A17" s="1" t="s">
        <v>67</v>
      </c>
      <c r="B17" s="1" t="s">
        <v>52</v>
      </c>
      <c r="C17" s="1" t="n">
        <v>353834</v>
      </c>
      <c r="D17" s="1" t="n">
        <v>22.9</v>
      </c>
      <c r="E17" s="1" t="n">
        <v>8101892</v>
      </c>
      <c r="F17" s="1" t="n">
        <v>0.6782</v>
      </c>
    </row>
    <row r="18" customFormat="false" ht="15" hidden="false" customHeight="false" outlineLevel="0" collapsed="false">
      <c r="A18" s="1" t="s">
        <v>68</v>
      </c>
      <c r="B18" s="1" t="s">
        <v>52</v>
      </c>
      <c r="C18" s="1" t="n">
        <v>351703</v>
      </c>
      <c r="D18" s="1" t="n">
        <v>22.59</v>
      </c>
      <c r="E18" s="1" t="n">
        <v>7944786</v>
      </c>
      <c r="F18" s="1" t="n">
        <v>0.6821</v>
      </c>
    </row>
    <row r="19" customFormat="false" ht="15" hidden="false" customHeight="false" outlineLevel="0" collapsed="false">
      <c r="A19" s="1" t="s">
        <v>69</v>
      </c>
      <c r="B19" s="1" t="s">
        <v>52</v>
      </c>
      <c r="C19" s="1" t="n">
        <v>354928</v>
      </c>
      <c r="D19" s="1" t="n">
        <v>22.63</v>
      </c>
      <c r="E19" s="1" t="n">
        <v>8033463</v>
      </c>
      <c r="F19" s="1" t="n">
        <v>0.6704</v>
      </c>
    </row>
    <row r="20" customFormat="false" ht="15" hidden="false" customHeight="false" outlineLevel="0" collapsed="false">
      <c r="A20" s="1" t="s">
        <v>70</v>
      </c>
      <c r="B20" s="1" t="s">
        <v>52</v>
      </c>
      <c r="C20" s="1" t="n">
        <v>354785</v>
      </c>
      <c r="D20" s="1" t="n">
        <v>22.49</v>
      </c>
      <c r="E20" s="1" t="n">
        <v>7980493</v>
      </c>
      <c r="F20" s="1" t="n">
        <v>0.6781</v>
      </c>
    </row>
    <row r="21" customFormat="false" ht="15" hidden="false" customHeight="false" outlineLevel="0" collapsed="false">
      <c r="A21" s="1" t="s">
        <v>71</v>
      </c>
      <c r="B21" s="1" t="s">
        <v>52</v>
      </c>
      <c r="C21" s="1" t="n">
        <v>357038</v>
      </c>
      <c r="D21" s="1" t="n">
        <v>22.62</v>
      </c>
      <c r="E21" s="1" t="n">
        <v>8075615</v>
      </c>
      <c r="F21" s="1" t="n">
        <v>0.6782</v>
      </c>
    </row>
    <row r="22" customFormat="false" ht="15" hidden="false" customHeight="false" outlineLevel="0" collapsed="false">
      <c r="A22" s="1" t="s">
        <v>72</v>
      </c>
      <c r="B22" s="1" t="s">
        <v>52</v>
      </c>
      <c r="C22" s="1" t="n">
        <v>361171</v>
      </c>
      <c r="D22" s="1" t="n">
        <v>22.57</v>
      </c>
      <c r="E22" s="1" t="n">
        <v>8149858</v>
      </c>
      <c r="F22" s="1" t="n">
        <v>0.675</v>
      </c>
    </row>
    <row r="23" customFormat="false" ht="15" hidden="false" customHeight="false" outlineLevel="0" collapsed="false">
      <c r="A23" s="1" t="s">
        <v>73</v>
      </c>
      <c r="B23" s="1" t="s">
        <v>52</v>
      </c>
      <c r="C23" s="1" t="n">
        <v>365992</v>
      </c>
      <c r="D23" s="1" t="n">
        <v>22.4</v>
      </c>
      <c r="E23" s="1" t="n">
        <v>8196820</v>
      </c>
      <c r="F23" s="1" t="n">
        <v>0.6892</v>
      </c>
    </row>
    <row r="24" customFormat="false" ht="15" hidden="false" customHeight="false" outlineLevel="0" collapsed="false">
      <c r="A24" s="1" t="s">
        <v>74</v>
      </c>
      <c r="B24" s="1" t="s">
        <v>52</v>
      </c>
      <c r="C24" s="1" t="n">
        <v>369891</v>
      </c>
      <c r="D24" s="1" t="n">
        <v>22.5</v>
      </c>
      <c r="E24" s="1" t="n">
        <v>8321369</v>
      </c>
      <c r="F24" s="1" t="n">
        <v>0.6745</v>
      </c>
    </row>
    <row r="25" customFormat="false" ht="15" hidden="false" customHeight="false" outlineLevel="0" collapsed="false">
      <c r="A25" s="1" t="s">
        <v>75</v>
      </c>
      <c r="B25" s="1" t="s">
        <v>52</v>
      </c>
      <c r="C25" s="1" t="n">
        <v>373692</v>
      </c>
      <c r="D25" s="1" t="n">
        <v>22.39</v>
      </c>
      <c r="E25" s="1" t="n">
        <v>8366321</v>
      </c>
      <c r="F25" s="1" t="n">
        <v>0.6699</v>
      </c>
    </row>
    <row r="26" customFormat="false" ht="15" hidden="false" customHeight="false" outlineLevel="0" collapsed="false">
      <c r="A26" s="1" t="s">
        <v>76</v>
      </c>
      <c r="B26" s="1" t="s">
        <v>52</v>
      </c>
      <c r="C26" s="1" t="n">
        <v>373706</v>
      </c>
      <c r="D26" s="1" t="n">
        <v>22.05</v>
      </c>
      <c r="E26" s="1" t="n">
        <v>8240612</v>
      </c>
      <c r="F26" s="1" t="n">
        <v>0.6702</v>
      </c>
    </row>
    <row r="27" customFormat="false" ht="15" hidden="false" customHeight="false" outlineLevel="0" collapsed="false">
      <c r="A27" s="1" t="s">
        <v>77</v>
      </c>
      <c r="B27" s="1" t="s">
        <v>52</v>
      </c>
      <c r="C27" s="1" t="n">
        <v>375499</v>
      </c>
      <c r="D27" s="1" t="n">
        <v>22.05</v>
      </c>
      <c r="E27" s="1" t="n">
        <v>8281354</v>
      </c>
      <c r="F27" s="1" t="n">
        <v>0.6851</v>
      </c>
    </row>
    <row r="28" customFormat="false" ht="15" hidden="false" customHeight="false" outlineLevel="0" collapsed="false">
      <c r="A28" s="1" t="s">
        <v>78</v>
      </c>
      <c r="B28" s="1" t="s">
        <v>52</v>
      </c>
      <c r="C28" s="1" t="n">
        <v>378189</v>
      </c>
      <c r="D28" s="1" t="n">
        <v>21.95</v>
      </c>
      <c r="E28" s="1" t="n">
        <v>8301053</v>
      </c>
      <c r="F28" s="1" t="n">
        <v>0.6718</v>
      </c>
    </row>
    <row r="29" customFormat="false" ht="15" hidden="false" customHeight="false" outlineLevel="0" collapsed="false">
      <c r="A29" s="1" t="s">
        <v>79</v>
      </c>
      <c r="B29" s="1" t="s">
        <v>52</v>
      </c>
      <c r="C29" s="1" t="n">
        <v>384966</v>
      </c>
      <c r="D29" s="1" t="n">
        <v>22.04</v>
      </c>
      <c r="E29" s="1" t="n">
        <v>8485646</v>
      </c>
      <c r="F29" s="1" t="n">
        <v>0.6858</v>
      </c>
    </row>
    <row r="30" customFormat="false" ht="15" hidden="false" customHeight="false" outlineLevel="0" collapsed="false">
      <c r="A30" s="1" t="s">
        <v>80</v>
      </c>
      <c r="B30" s="1" t="s">
        <v>52</v>
      </c>
      <c r="C30" s="1" t="n">
        <v>390024</v>
      </c>
      <c r="D30" s="1" t="n">
        <v>22.2</v>
      </c>
      <c r="E30" s="1" t="n">
        <v>8658474</v>
      </c>
      <c r="F30" s="1" t="n">
        <v>0.6603</v>
      </c>
    </row>
    <row r="31" customFormat="false" ht="15" hidden="false" customHeight="false" outlineLevel="0" collapsed="false">
      <c r="A31" s="1" t="s">
        <v>81</v>
      </c>
      <c r="B31" s="1" t="s">
        <v>52</v>
      </c>
      <c r="C31" s="1" t="n">
        <v>397678</v>
      </c>
      <c r="D31" s="1" t="n">
        <v>22.1</v>
      </c>
      <c r="E31" s="1" t="n">
        <v>8787535</v>
      </c>
      <c r="F31" s="1" t="n">
        <v>0.6799</v>
      </c>
    </row>
    <row r="32" customFormat="false" ht="15" hidden="false" customHeight="false" outlineLevel="0" collapsed="false">
      <c r="A32" s="1" t="s">
        <v>82</v>
      </c>
      <c r="B32" s="1" t="s">
        <v>52</v>
      </c>
      <c r="C32" s="1" t="n">
        <v>405497</v>
      </c>
      <c r="D32" s="1" t="n">
        <v>21.89</v>
      </c>
      <c r="E32" s="1" t="n">
        <v>8877993</v>
      </c>
      <c r="F32" s="1" t="n">
        <v>0.6515</v>
      </c>
    </row>
    <row r="33" customFormat="false" ht="15" hidden="false" customHeight="false" outlineLevel="0" collapsed="false">
      <c r="A33" s="1" t="s">
        <v>83</v>
      </c>
      <c r="B33" s="1" t="s">
        <v>52</v>
      </c>
      <c r="C33" s="1" t="n">
        <v>409554</v>
      </c>
      <c r="D33" s="1" t="n">
        <v>21.96</v>
      </c>
      <c r="E33" s="1" t="n">
        <v>8994042</v>
      </c>
      <c r="F33" s="1" t="n">
        <v>0.6639</v>
      </c>
    </row>
    <row r="34" customFormat="false" ht="15" hidden="false" customHeight="false" outlineLevel="0" collapsed="false">
      <c r="A34" s="1" t="s">
        <v>84</v>
      </c>
      <c r="B34" s="1" t="s">
        <v>52</v>
      </c>
      <c r="C34" s="1" t="n">
        <v>411403</v>
      </c>
      <c r="D34" s="1" t="n">
        <v>22.33</v>
      </c>
      <c r="E34" s="1" t="n">
        <v>9187589</v>
      </c>
      <c r="F34" s="1" t="n">
        <v>0.6908</v>
      </c>
    </row>
    <row r="35" customFormat="false" ht="15" hidden="false" customHeight="false" outlineLevel="0" collapsed="false">
      <c r="A35" s="1" t="s">
        <v>85</v>
      </c>
      <c r="B35" s="1" t="s">
        <v>52</v>
      </c>
      <c r="C35" s="1" t="n">
        <v>417526</v>
      </c>
      <c r="D35" s="1" t="n">
        <v>22.92</v>
      </c>
      <c r="E35" s="1" t="n">
        <v>9569841</v>
      </c>
      <c r="F35" s="1" t="n">
        <v>0.6749</v>
      </c>
    </row>
    <row r="36" customFormat="false" ht="15" hidden="false" customHeight="false" outlineLevel="0" collapsed="false">
      <c r="A36" s="1" t="s">
        <v>86</v>
      </c>
      <c r="B36" s="1" t="s">
        <v>52</v>
      </c>
      <c r="C36" s="1" t="n">
        <v>423649</v>
      </c>
      <c r="D36" s="1" t="n">
        <v>22.85</v>
      </c>
      <c r="E36" s="1" t="n">
        <v>9680424</v>
      </c>
      <c r="F36" s="1" t="n">
        <v>0.6625</v>
      </c>
    </row>
    <row r="37" customFormat="false" ht="15" hidden="false" customHeight="false" outlineLevel="0" collapsed="false">
      <c r="A37" s="1" t="s">
        <v>87</v>
      </c>
      <c r="B37" s="1" t="s">
        <v>52</v>
      </c>
      <c r="C37" s="1" t="n">
        <v>432321</v>
      </c>
      <c r="D37" s="1" t="n">
        <v>22.83</v>
      </c>
      <c r="E37" s="1" t="n">
        <v>9870469</v>
      </c>
      <c r="F37" s="1" t="n">
        <v>0.6734</v>
      </c>
    </row>
    <row r="38" customFormat="false" ht="15" hidden="false" customHeight="false" outlineLevel="0" collapsed="false">
      <c r="A38" s="1" t="s">
        <v>88</v>
      </c>
      <c r="B38" s="1" t="s">
        <v>52</v>
      </c>
      <c r="C38" s="1" t="n">
        <v>435371</v>
      </c>
      <c r="D38" s="1" t="n">
        <v>22.64</v>
      </c>
      <c r="E38" s="1" t="n">
        <v>9855121</v>
      </c>
      <c r="F38" s="1" t="n">
        <v>0.6652</v>
      </c>
    </row>
    <row r="39" customFormat="false" ht="15" hidden="false" customHeight="false" outlineLevel="0" collapsed="false">
      <c r="A39" s="1" t="s">
        <v>89</v>
      </c>
      <c r="B39" s="1" t="s">
        <v>52</v>
      </c>
      <c r="C39" s="1" t="n">
        <v>436243</v>
      </c>
      <c r="D39" s="1" t="n">
        <v>22.53</v>
      </c>
      <c r="E39" s="1" t="n">
        <v>9828026</v>
      </c>
      <c r="F39" s="1" t="n">
        <v>0.6963</v>
      </c>
    </row>
    <row r="40" customFormat="false" ht="15" hidden="false" customHeight="false" outlineLevel="0" collapsed="false">
      <c r="A40" s="1" t="s">
        <v>90</v>
      </c>
      <c r="B40" s="1" t="s">
        <v>52</v>
      </c>
      <c r="C40" s="1" t="n">
        <v>438479</v>
      </c>
      <c r="D40" s="1" t="n">
        <v>22.68</v>
      </c>
      <c r="E40" s="1" t="n">
        <v>9943677</v>
      </c>
      <c r="F40" s="1" t="n">
        <v>0.6852</v>
      </c>
    </row>
    <row r="41" customFormat="false" ht="15" hidden="false" customHeight="false" outlineLevel="0" collapsed="false">
      <c r="A41" s="1" t="s">
        <v>91</v>
      </c>
      <c r="B41" s="1" t="s">
        <v>52</v>
      </c>
      <c r="C41" s="1" t="n">
        <v>449768</v>
      </c>
      <c r="D41" s="1" t="n">
        <v>22.65</v>
      </c>
      <c r="E41" s="1" t="n">
        <v>10188532</v>
      </c>
      <c r="F41" s="1" t="n">
        <v>0.6887</v>
      </c>
    </row>
    <row r="42" customFormat="false" ht="15" hidden="false" customHeight="false" outlineLevel="0" collapsed="false">
      <c r="A42" s="1" t="s">
        <v>92</v>
      </c>
      <c r="B42" s="1" t="s">
        <v>52</v>
      </c>
      <c r="C42" s="1" t="n">
        <v>456691</v>
      </c>
      <c r="D42" s="1" t="n">
        <v>22.63</v>
      </c>
      <c r="E42" s="1" t="n">
        <v>10335296</v>
      </c>
      <c r="F42" s="1" t="n">
        <v>0.6884</v>
      </c>
    </row>
    <row r="43" customFormat="false" ht="15" hidden="false" customHeight="false" outlineLevel="0" collapsed="false">
      <c r="A43" s="1" t="s">
        <v>93</v>
      </c>
      <c r="B43" s="1" t="s">
        <v>52</v>
      </c>
      <c r="C43" s="1" t="n">
        <v>459332</v>
      </c>
      <c r="D43" s="1" t="n">
        <v>23.1</v>
      </c>
      <c r="E43" s="1" t="n">
        <v>10612435</v>
      </c>
      <c r="F43" s="1" t="n">
        <v>0.6796</v>
      </c>
    </row>
    <row r="44" customFormat="false" ht="15" hidden="false" customHeight="false" outlineLevel="0" collapsed="false">
      <c r="A44" s="1" t="s">
        <v>94</v>
      </c>
      <c r="B44" s="1" t="s">
        <v>52</v>
      </c>
      <c r="C44" s="1" t="n">
        <v>463459</v>
      </c>
      <c r="D44" s="1" t="n">
        <v>23.13</v>
      </c>
      <c r="E44" s="1" t="n">
        <v>10719599</v>
      </c>
      <c r="F44" s="1" t="n">
        <v>0.6973</v>
      </c>
    </row>
    <row r="45" customFormat="false" ht="15" hidden="false" customHeight="false" outlineLevel="0" collapsed="false">
      <c r="A45" s="1" t="s">
        <v>95</v>
      </c>
      <c r="B45" s="1" t="s">
        <v>52</v>
      </c>
      <c r="C45" s="1" t="n">
        <v>471738</v>
      </c>
      <c r="D45" s="1" t="n">
        <v>23.01</v>
      </c>
      <c r="E45" s="1" t="n">
        <v>10853257</v>
      </c>
      <c r="F45" s="1" t="n">
        <v>0.6868</v>
      </c>
    </row>
    <row r="46" customFormat="false" ht="15" hidden="false" customHeight="false" outlineLevel="0" collapsed="false">
      <c r="A46" s="1" t="s">
        <v>96</v>
      </c>
      <c r="B46" s="1" t="s">
        <v>52</v>
      </c>
      <c r="C46" s="1" t="n">
        <v>477055</v>
      </c>
      <c r="D46" s="1" t="n">
        <v>23.46</v>
      </c>
      <c r="E46" s="1" t="n">
        <v>11191539</v>
      </c>
      <c r="F46" s="1" t="n">
        <v>0.6866</v>
      </c>
    </row>
    <row r="47" customFormat="false" ht="15" hidden="false" customHeight="false" outlineLevel="0" collapsed="false">
      <c r="A47" s="1" t="s">
        <v>97</v>
      </c>
      <c r="B47" s="1" t="s">
        <v>52</v>
      </c>
      <c r="C47" s="1" t="n">
        <v>479427</v>
      </c>
      <c r="D47" s="1" t="n">
        <v>23.61</v>
      </c>
      <c r="E47" s="1" t="n">
        <v>11319722</v>
      </c>
      <c r="F47" s="1" t="n">
        <v>0.6829</v>
      </c>
    </row>
    <row r="48" customFormat="false" ht="15" hidden="false" customHeight="false" outlineLevel="0" collapsed="false">
      <c r="A48" s="1" t="s">
        <v>98</v>
      </c>
      <c r="B48" s="1" t="s">
        <v>52</v>
      </c>
      <c r="C48" s="1" t="n">
        <v>487418</v>
      </c>
      <c r="D48" s="1" t="n">
        <v>23.78</v>
      </c>
      <c r="E48" s="1" t="n">
        <v>11592412</v>
      </c>
      <c r="F48" s="1" t="n">
        <v>0.681</v>
      </c>
    </row>
    <row r="49" customFormat="false" ht="15" hidden="false" customHeight="false" outlineLevel="0" collapsed="false">
      <c r="A49" s="1" t="s">
        <v>99</v>
      </c>
      <c r="B49" s="1" t="s">
        <v>52</v>
      </c>
      <c r="C49" s="1" t="n">
        <v>485986</v>
      </c>
      <c r="D49" s="1" t="n">
        <v>23.79</v>
      </c>
      <c r="E49" s="1" t="n">
        <v>11560362</v>
      </c>
      <c r="F49" s="1" t="n">
        <v>0.6732</v>
      </c>
    </row>
    <row r="50" customFormat="false" ht="15" hidden="false" customHeight="false" outlineLevel="0" collapsed="false">
      <c r="A50" s="1" t="s">
        <v>51</v>
      </c>
      <c r="B50" s="1" t="s">
        <v>100</v>
      </c>
      <c r="C50" s="1" t="n">
        <v>319729</v>
      </c>
      <c r="D50" s="1" t="n">
        <v>11.14</v>
      </c>
      <c r="E50" s="1" t="n">
        <v>3561390</v>
      </c>
      <c r="F50" s="1" t="n">
        <v>0.6031</v>
      </c>
    </row>
    <row r="51" customFormat="false" ht="15" hidden="false" customHeight="false" outlineLevel="0" collapsed="false">
      <c r="A51" s="1" t="s">
        <v>53</v>
      </c>
      <c r="B51" s="1" t="s">
        <v>100</v>
      </c>
      <c r="C51" s="1" t="n">
        <v>320646</v>
      </c>
      <c r="D51" s="1" t="n">
        <v>11.2</v>
      </c>
      <c r="E51" s="1" t="n">
        <v>3590643</v>
      </c>
      <c r="F51" s="1" t="n">
        <v>0.6076</v>
      </c>
    </row>
    <row r="52" customFormat="false" ht="15" hidden="false" customHeight="false" outlineLevel="0" collapsed="false">
      <c r="A52" s="1" t="s">
        <v>54</v>
      </c>
      <c r="B52" s="1" t="s">
        <v>100</v>
      </c>
      <c r="C52" s="1" t="n">
        <v>322580</v>
      </c>
      <c r="D52" s="1" t="n">
        <v>11.22</v>
      </c>
      <c r="E52" s="1" t="n">
        <v>3618861</v>
      </c>
      <c r="F52" s="1" t="n">
        <v>0.6052</v>
      </c>
    </row>
    <row r="53" customFormat="false" ht="15" hidden="false" customHeight="false" outlineLevel="0" collapsed="false">
      <c r="A53" s="1" t="s">
        <v>55</v>
      </c>
      <c r="B53" s="1" t="s">
        <v>100</v>
      </c>
      <c r="C53" s="1" t="n">
        <v>320660</v>
      </c>
      <c r="D53" s="1" t="n">
        <v>11.48</v>
      </c>
      <c r="E53" s="1" t="n">
        <v>3682038</v>
      </c>
      <c r="F53" s="1" t="n">
        <v>0.5941</v>
      </c>
    </row>
    <row r="54" customFormat="false" ht="15" hidden="false" customHeight="false" outlineLevel="0" collapsed="false">
      <c r="A54" s="1" t="s">
        <v>56</v>
      </c>
      <c r="B54" s="1" t="s">
        <v>100</v>
      </c>
      <c r="C54" s="1" t="n">
        <v>320386</v>
      </c>
      <c r="D54" s="1" t="n">
        <v>11.32</v>
      </c>
      <c r="E54" s="1" t="n">
        <v>3625716</v>
      </c>
      <c r="F54" s="1" t="n">
        <v>0.604</v>
      </c>
    </row>
    <row r="55" customFormat="false" ht="15" hidden="false" customHeight="false" outlineLevel="0" collapsed="false">
      <c r="A55" s="1" t="s">
        <v>57</v>
      </c>
      <c r="B55" s="1" t="s">
        <v>100</v>
      </c>
      <c r="C55" s="1" t="n">
        <v>319504</v>
      </c>
      <c r="D55" s="1" t="n">
        <v>11.19</v>
      </c>
      <c r="E55" s="1" t="n">
        <v>3573952</v>
      </c>
      <c r="F55" s="1" t="n">
        <v>0.6119</v>
      </c>
    </row>
    <row r="56" customFormat="false" ht="15" hidden="false" customHeight="false" outlineLevel="0" collapsed="false">
      <c r="A56" s="1" t="s">
        <v>58</v>
      </c>
      <c r="B56" s="1" t="s">
        <v>100</v>
      </c>
      <c r="C56" s="1" t="n">
        <v>321629</v>
      </c>
      <c r="D56" s="1" t="n">
        <v>11.48</v>
      </c>
      <c r="E56" s="1" t="n">
        <v>3690764</v>
      </c>
      <c r="F56" s="1" t="n">
        <v>0.6061</v>
      </c>
    </row>
    <row r="57" customFormat="false" ht="15" hidden="false" customHeight="false" outlineLevel="0" collapsed="false">
      <c r="A57" s="1" t="s">
        <v>59</v>
      </c>
      <c r="B57" s="1" t="s">
        <v>100</v>
      </c>
      <c r="C57" s="1" t="n">
        <v>322977</v>
      </c>
      <c r="D57" s="1" t="n">
        <v>11.36</v>
      </c>
      <c r="E57" s="1" t="n">
        <v>3670572</v>
      </c>
      <c r="F57" s="1" t="n">
        <v>0.589</v>
      </c>
    </row>
    <row r="58" customFormat="false" ht="15" hidden="false" customHeight="false" outlineLevel="0" collapsed="false">
      <c r="A58" s="1" t="s">
        <v>60</v>
      </c>
      <c r="B58" s="1" t="s">
        <v>100</v>
      </c>
      <c r="C58" s="1" t="n">
        <v>325763</v>
      </c>
      <c r="D58" s="1" t="n">
        <v>11.22</v>
      </c>
      <c r="E58" s="1" t="n">
        <v>3653998</v>
      </c>
      <c r="F58" s="1" t="n">
        <v>0.5985</v>
      </c>
    </row>
    <row r="59" customFormat="false" ht="15" hidden="false" customHeight="false" outlineLevel="0" collapsed="false">
      <c r="A59" s="1" t="s">
        <v>61</v>
      </c>
      <c r="B59" s="1" t="s">
        <v>100</v>
      </c>
      <c r="C59" s="1" t="n">
        <v>327555</v>
      </c>
      <c r="D59" s="1" t="n">
        <v>11.27</v>
      </c>
      <c r="E59" s="1" t="n">
        <v>3689964</v>
      </c>
      <c r="F59" s="1" t="n">
        <v>0.5966</v>
      </c>
    </row>
    <row r="60" customFormat="false" ht="15" hidden="false" customHeight="false" outlineLevel="0" collapsed="false">
      <c r="A60" s="1" t="s">
        <v>62</v>
      </c>
      <c r="B60" s="1" t="s">
        <v>100</v>
      </c>
      <c r="C60" s="1" t="n">
        <v>332837</v>
      </c>
      <c r="D60" s="1" t="n">
        <v>11.07</v>
      </c>
      <c r="E60" s="1" t="n">
        <v>3683219</v>
      </c>
      <c r="F60" s="1" t="n">
        <v>0.5934</v>
      </c>
    </row>
    <row r="61" customFormat="false" ht="15" hidden="false" customHeight="false" outlineLevel="0" collapsed="false">
      <c r="A61" s="1" t="s">
        <v>63</v>
      </c>
      <c r="B61" s="1" t="s">
        <v>100</v>
      </c>
      <c r="C61" s="1" t="n">
        <v>335901</v>
      </c>
      <c r="D61" s="1" t="n">
        <v>10.97</v>
      </c>
      <c r="E61" s="1" t="n">
        <v>3686098</v>
      </c>
      <c r="F61" s="1" t="n">
        <v>0.5951</v>
      </c>
    </row>
    <row r="62" customFormat="false" ht="15" hidden="false" customHeight="false" outlineLevel="0" collapsed="false">
      <c r="A62" s="1" t="s">
        <v>64</v>
      </c>
      <c r="B62" s="1" t="s">
        <v>100</v>
      </c>
      <c r="C62" s="1" t="n">
        <v>336953</v>
      </c>
      <c r="D62" s="1" t="n">
        <v>10.97</v>
      </c>
      <c r="E62" s="1" t="n">
        <v>3697001</v>
      </c>
      <c r="F62" s="1" t="n">
        <v>0.5924</v>
      </c>
    </row>
    <row r="63" customFormat="false" ht="15" hidden="false" customHeight="false" outlineLevel="0" collapsed="false">
      <c r="A63" s="1" t="s">
        <v>65</v>
      </c>
      <c r="B63" s="1" t="s">
        <v>100</v>
      </c>
      <c r="C63" s="1" t="n">
        <v>337369</v>
      </c>
      <c r="D63" s="1" t="n">
        <v>11</v>
      </c>
      <c r="E63" s="1" t="n">
        <v>3711988</v>
      </c>
      <c r="F63" s="1" t="n">
        <v>0.6097</v>
      </c>
    </row>
    <row r="64" customFormat="false" ht="15" hidden="false" customHeight="false" outlineLevel="0" collapsed="false">
      <c r="A64" s="1" t="s">
        <v>66</v>
      </c>
      <c r="B64" s="1" t="s">
        <v>100</v>
      </c>
      <c r="C64" s="1" t="n">
        <v>339424</v>
      </c>
      <c r="D64" s="1" t="n">
        <v>11.21</v>
      </c>
      <c r="E64" s="1" t="n">
        <v>3804665</v>
      </c>
      <c r="F64" s="1" t="n">
        <v>0.5847</v>
      </c>
    </row>
    <row r="65" customFormat="false" ht="15" hidden="false" customHeight="false" outlineLevel="0" collapsed="false">
      <c r="A65" s="1" t="s">
        <v>67</v>
      </c>
      <c r="B65" s="1" t="s">
        <v>100</v>
      </c>
      <c r="C65" s="1" t="n">
        <v>340283</v>
      </c>
      <c r="D65" s="1" t="n">
        <v>11.29</v>
      </c>
      <c r="E65" s="1" t="n">
        <v>3842377</v>
      </c>
      <c r="F65" s="1" t="n">
        <v>0.5864</v>
      </c>
    </row>
    <row r="66" customFormat="false" ht="15" hidden="false" customHeight="false" outlineLevel="0" collapsed="false">
      <c r="A66" s="1" t="s">
        <v>68</v>
      </c>
      <c r="B66" s="1" t="s">
        <v>100</v>
      </c>
      <c r="C66" s="1" t="n">
        <v>342987</v>
      </c>
      <c r="D66" s="1" t="n">
        <v>11.6</v>
      </c>
      <c r="E66" s="1" t="n">
        <v>3980226</v>
      </c>
      <c r="F66" s="1" t="n">
        <v>0.6002</v>
      </c>
    </row>
    <row r="67" customFormat="false" ht="15" hidden="false" customHeight="false" outlineLevel="0" collapsed="false">
      <c r="A67" s="1" t="s">
        <v>69</v>
      </c>
      <c r="B67" s="1" t="s">
        <v>100</v>
      </c>
      <c r="C67" s="1" t="n">
        <v>347500</v>
      </c>
      <c r="D67" s="1" t="n">
        <v>11.77</v>
      </c>
      <c r="E67" s="1" t="n">
        <v>4091199</v>
      </c>
      <c r="F67" s="1" t="n">
        <v>0.6078</v>
      </c>
    </row>
    <row r="68" customFormat="false" ht="15" hidden="false" customHeight="false" outlineLevel="0" collapsed="false">
      <c r="A68" s="1" t="s">
        <v>70</v>
      </c>
      <c r="B68" s="1" t="s">
        <v>100</v>
      </c>
      <c r="C68" s="1" t="n">
        <v>348860</v>
      </c>
      <c r="D68" s="1" t="n">
        <v>12</v>
      </c>
      <c r="E68" s="1" t="n">
        <v>4187223</v>
      </c>
      <c r="F68" s="1" t="n">
        <v>0.605</v>
      </c>
    </row>
    <row r="69" customFormat="false" ht="15" hidden="false" customHeight="false" outlineLevel="0" collapsed="false">
      <c r="A69" s="1" t="s">
        <v>71</v>
      </c>
      <c r="B69" s="1" t="s">
        <v>100</v>
      </c>
      <c r="C69" s="1" t="n">
        <v>352887</v>
      </c>
      <c r="D69" s="1" t="n">
        <v>11.91</v>
      </c>
      <c r="E69" s="1" t="n">
        <v>4201602</v>
      </c>
      <c r="F69" s="1" t="n">
        <v>0.6056</v>
      </c>
    </row>
    <row r="70" customFormat="false" ht="15" hidden="false" customHeight="false" outlineLevel="0" collapsed="false">
      <c r="A70" s="1" t="s">
        <v>72</v>
      </c>
      <c r="B70" s="1" t="s">
        <v>100</v>
      </c>
      <c r="C70" s="1" t="n">
        <v>358564</v>
      </c>
      <c r="D70" s="1" t="n">
        <v>11.89</v>
      </c>
      <c r="E70" s="1" t="n">
        <v>4261757</v>
      </c>
      <c r="F70" s="1" t="n">
        <v>0.6135</v>
      </c>
    </row>
    <row r="71" customFormat="false" ht="15" hidden="false" customHeight="false" outlineLevel="0" collapsed="false">
      <c r="A71" s="1" t="s">
        <v>73</v>
      </c>
      <c r="B71" s="1" t="s">
        <v>100</v>
      </c>
      <c r="C71" s="1" t="n">
        <v>358337</v>
      </c>
      <c r="D71" s="1" t="n">
        <v>11.79</v>
      </c>
      <c r="E71" s="1" t="n">
        <v>4226345</v>
      </c>
      <c r="F71" s="1" t="n">
        <v>0.5904</v>
      </c>
    </row>
    <row r="72" customFormat="false" ht="15" hidden="false" customHeight="false" outlineLevel="0" collapsed="false">
      <c r="A72" s="1" t="s">
        <v>74</v>
      </c>
      <c r="B72" s="1" t="s">
        <v>100</v>
      </c>
      <c r="C72" s="1" t="n">
        <v>360538</v>
      </c>
      <c r="D72" s="1" t="n">
        <v>11.66</v>
      </c>
      <c r="E72" s="1" t="n">
        <v>4204044</v>
      </c>
      <c r="F72" s="1" t="n">
        <v>0.5844</v>
      </c>
    </row>
    <row r="73" customFormat="false" ht="15" hidden="false" customHeight="false" outlineLevel="0" collapsed="false">
      <c r="A73" s="1" t="s">
        <v>75</v>
      </c>
      <c r="B73" s="1" t="s">
        <v>100</v>
      </c>
      <c r="C73" s="1" t="n">
        <v>365081</v>
      </c>
      <c r="D73" s="1" t="n">
        <v>11.56</v>
      </c>
      <c r="E73" s="1" t="n">
        <v>4221434</v>
      </c>
      <c r="F73" s="1" t="n">
        <v>0.5878</v>
      </c>
    </row>
    <row r="74" customFormat="false" ht="15" hidden="false" customHeight="false" outlineLevel="0" collapsed="false">
      <c r="A74" s="1" t="s">
        <v>76</v>
      </c>
      <c r="B74" s="1" t="s">
        <v>100</v>
      </c>
      <c r="C74" s="1" t="n">
        <v>369508</v>
      </c>
      <c r="D74" s="1" t="n">
        <v>11.5</v>
      </c>
      <c r="E74" s="1" t="n">
        <v>4249042</v>
      </c>
      <c r="F74" s="1" t="n">
        <v>0.5953</v>
      </c>
    </row>
    <row r="75" customFormat="false" ht="15" hidden="false" customHeight="false" outlineLevel="0" collapsed="false">
      <c r="A75" s="1" t="s">
        <v>77</v>
      </c>
      <c r="B75" s="1" t="s">
        <v>100</v>
      </c>
      <c r="C75" s="1" t="n">
        <v>374418</v>
      </c>
      <c r="D75" s="1" t="n">
        <v>11.72</v>
      </c>
      <c r="E75" s="1" t="n">
        <v>4388459</v>
      </c>
      <c r="F75" s="1" t="n">
        <v>0.6155</v>
      </c>
    </row>
    <row r="76" customFormat="false" ht="15" hidden="false" customHeight="false" outlineLevel="0" collapsed="false">
      <c r="A76" s="1" t="s">
        <v>78</v>
      </c>
      <c r="B76" s="1" t="s">
        <v>100</v>
      </c>
      <c r="C76" s="1" t="n">
        <v>380925</v>
      </c>
      <c r="D76" s="1" t="n">
        <v>11.62</v>
      </c>
      <c r="E76" s="1" t="n">
        <v>4425560</v>
      </c>
      <c r="F76" s="1" t="n">
        <v>0.5982</v>
      </c>
    </row>
    <row r="77" customFormat="false" ht="15" hidden="false" customHeight="false" outlineLevel="0" collapsed="false">
      <c r="A77" s="1" t="s">
        <v>79</v>
      </c>
      <c r="B77" s="1" t="s">
        <v>100</v>
      </c>
      <c r="C77" s="1" t="n">
        <v>383945</v>
      </c>
      <c r="D77" s="1" t="n">
        <v>11.57</v>
      </c>
      <c r="E77" s="1" t="n">
        <v>4442822</v>
      </c>
      <c r="F77" s="1" t="n">
        <v>0.613</v>
      </c>
    </row>
    <row r="78" customFormat="false" ht="15" hidden="false" customHeight="false" outlineLevel="0" collapsed="false">
      <c r="A78" s="1" t="s">
        <v>80</v>
      </c>
      <c r="B78" s="1" t="s">
        <v>100</v>
      </c>
      <c r="C78" s="1" t="n">
        <v>385822</v>
      </c>
      <c r="D78" s="1" t="n">
        <v>11.44</v>
      </c>
      <c r="E78" s="1" t="n">
        <v>4413306</v>
      </c>
      <c r="F78" s="1" t="n">
        <v>0.6077</v>
      </c>
    </row>
    <row r="79" customFormat="false" ht="15" hidden="false" customHeight="false" outlineLevel="0" collapsed="false">
      <c r="A79" s="1" t="s">
        <v>81</v>
      </c>
      <c r="B79" s="1" t="s">
        <v>100</v>
      </c>
      <c r="C79" s="1" t="n">
        <v>388914</v>
      </c>
      <c r="D79" s="1" t="n">
        <v>11.29</v>
      </c>
      <c r="E79" s="1" t="n">
        <v>4392587</v>
      </c>
      <c r="F79" s="1" t="n">
        <v>0.6051</v>
      </c>
    </row>
    <row r="80" customFormat="false" ht="15" hidden="false" customHeight="false" outlineLevel="0" collapsed="false">
      <c r="A80" s="1" t="s">
        <v>82</v>
      </c>
      <c r="B80" s="1" t="s">
        <v>100</v>
      </c>
      <c r="C80" s="1" t="n">
        <v>393181</v>
      </c>
      <c r="D80" s="1" t="n">
        <v>11.31</v>
      </c>
      <c r="E80" s="1" t="n">
        <v>4446968</v>
      </c>
      <c r="F80" s="1" t="n">
        <v>0.6062</v>
      </c>
    </row>
    <row r="81" customFormat="false" ht="15" hidden="false" customHeight="false" outlineLevel="0" collapsed="false">
      <c r="A81" s="1" t="s">
        <v>83</v>
      </c>
      <c r="B81" s="1" t="s">
        <v>100</v>
      </c>
      <c r="C81" s="1" t="n">
        <v>400482</v>
      </c>
      <c r="D81" s="1" t="n">
        <v>11.03</v>
      </c>
      <c r="E81" s="1" t="n">
        <v>4418628</v>
      </c>
      <c r="F81" s="1" t="n">
        <v>0.5999</v>
      </c>
    </row>
    <row r="82" customFormat="false" ht="15" hidden="false" customHeight="false" outlineLevel="0" collapsed="false">
      <c r="A82" s="1" t="s">
        <v>84</v>
      </c>
      <c r="B82" s="1" t="s">
        <v>100</v>
      </c>
      <c r="C82" s="1" t="n">
        <v>405139</v>
      </c>
      <c r="D82" s="1" t="n">
        <v>11.15</v>
      </c>
      <c r="E82" s="1" t="n">
        <v>4515857</v>
      </c>
      <c r="F82" s="1" t="n">
        <v>0.5978</v>
      </c>
    </row>
    <row r="83" customFormat="false" ht="15" hidden="false" customHeight="false" outlineLevel="0" collapsed="false">
      <c r="A83" s="1" t="s">
        <v>85</v>
      </c>
      <c r="B83" s="1" t="s">
        <v>100</v>
      </c>
      <c r="C83" s="1" t="n">
        <v>407007</v>
      </c>
      <c r="D83" s="1" t="n">
        <v>11.32</v>
      </c>
      <c r="E83" s="1" t="n">
        <v>4608777</v>
      </c>
      <c r="F83" s="1" t="n">
        <v>0.603</v>
      </c>
    </row>
    <row r="84" customFormat="false" ht="15" hidden="false" customHeight="false" outlineLevel="0" collapsed="false">
      <c r="A84" s="1" t="s">
        <v>86</v>
      </c>
      <c r="B84" s="1" t="s">
        <v>100</v>
      </c>
      <c r="C84" s="1" t="n">
        <v>407385</v>
      </c>
      <c r="D84" s="1" t="n">
        <v>11.25</v>
      </c>
      <c r="E84" s="1" t="n">
        <v>4581739</v>
      </c>
      <c r="F84" s="1" t="n">
        <v>0.5963</v>
      </c>
    </row>
    <row r="85" customFormat="false" ht="15" hidden="false" customHeight="false" outlineLevel="0" collapsed="false">
      <c r="A85" s="1" t="s">
        <v>87</v>
      </c>
      <c r="B85" s="1" t="s">
        <v>100</v>
      </c>
      <c r="C85" s="1" t="n">
        <v>408557</v>
      </c>
      <c r="D85" s="1" t="n">
        <v>11.43</v>
      </c>
      <c r="E85" s="1" t="n">
        <v>4667913</v>
      </c>
      <c r="F85" s="1" t="n">
        <v>0.6081</v>
      </c>
    </row>
    <row r="86" customFormat="false" ht="15" hidden="false" customHeight="false" outlineLevel="0" collapsed="false">
      <c r="A86" s="1" t="s">
        <v>88</v>
      </c>
      <c r="B86" s="1" t="s">
        <v>100</v>
      </c>
      <c r="C86" s="1" t="n">
        <v>407633</v>
      </c>
      <c r="D86" s="1" t="n">
        <v>11.52</v>
      </c>
      <c r="E86" s="1" t="n">
        <v>4694745</v>
      </c>
      <c r="F86" s="1" t="n">
        <v>0.5943</v>
      </c>
    </row>
    <row r="87" customFormat="false" ht="15" hidden="false" customHeight="false" outlineLevel="0" collapsed="false">
      <c r="A87" s="1" t="s">
        <v>89</v>
      </c>
      <c r="B87" s="1" t="s">
        <v>100</v>
      </c>
      <c r="C87" s="1" t="n">
        <v>408260</v>
      </c>
      <c r="D87" s="1" t="n">
        <v>11.46</v>
      </c>
      <c r="E87" s="1" t="n">
        <v>4676810</v>
      </c>
      <c r="F87" s="1" t="n">
        <v>0.5908</v>
      </c>
    </row>
    <row r="88" customFormat="false" ht="15" hidden="false" customHeight="false" outlineLevel="0" collapsed="false">
      <c r="A88" s="1" t="s">
        <v>90</v>
      </c>
      <c r="B88" s="1" t="s">
        <v>100</v>
      </c>
      <c r="C88" s="1" t="n">
        <v>413448</v>
      </c>
      <c r="D88" s="1" t="n">
        <v>11.23</v>
      </c>
      <c r="E88" s="1" t="n">
        <v>4641409</v>
      </c>
      <c r="F88" s="1" t="n">
        <v>0.59</v>
      </c>
    </row>
    <row r="89" customFormat="false" ht="15" hidden="false" customHeight="false" outlineLevel="0" collapsed="false">
      <c r="A89" s="1" t="s">
        <v>91</v>
      </c>
      <c r="B89" s="1" t="s">
        <v>100</v>
      </c>
      <c r="C89" s="1" t="n">
        <v>422067</v>
      </c>
      <c r="D89" s="1" t="n">
        <v>11.12</v>
      </c>
      <c r="E89" s="1" t="n">
        <v>4694232</v>
      </c>
      <c r="F89" s="1" t="n">
        <v>0.5943</v>
      </c>
    </row>
    <row r="90" customFormat="false" ht="15" hidden="false" customHeight="false" outlineLevel="0" collapsed="false">
      <c r="A90" s="1" t="s">
        <v>92</v>
      </c>
      <c r="B90" s="1" t="s">
        <v>100</v>
      </c>
      <c r="C90" s="1" t="n">
        <v>426548</v>
      </c>
      <c r="D90" s="1" t="n">
        <v>11.12</v>
      </c>
      <c r="E90" s="1" t="n">
        <v>4744419</v>
      </c>
      <c r="F90" s="1" t="n">
        <v>0.6044</v>
      </c>
    </row>
    <row r="91" customFormat="false" ht="15" hidden="false" customHeight="false" outlineLevel="0" collapsed="false">
      <c r="A91" s="1" t="s">
        <v>93</v>
      </c>
      <c r="B91" s="1" t="s">
        <v>100</v>
      </c>
      <c r="C91" s="1" t="n">
        <v>422896</v>
      </c>
      <c r="D91" s="1" t="n">
        <v>10.98</v>
      </c>
      <c r="E91" s="1" t="n">
        <v>4644188</v>
      </c>
      <c r="F91" s="1" t="n">
        <v>0.6027</v>
      </c>
    </row>
    <row r="92" customFormat="false" ht="15" hidden="false" customHeight="false" outlineLevel="0" collapsed="false">
      <c r="A92" s="1" t="s">
        <v>94</v>
      </c>
      <c r="B92" s="1" t="s">
        <v>100</v>
      </c>
      <c r="C92" s="1" t="n">
        <v>421156</v>
      </c>
      <c r="D92" s="1" t="n">
        <v>11.07</v>
      </c>
      <c r="E92" s="1" t="n">
        <v>4661450</v>
      </c>
      <c r="F92" s="1" t="n">
        <v>0.5898</v>
      </c>
    </row>
    <row r="93" customFormat="false" ht="15" hidden="false" customHeight="false" outlineLevel="0" collapsed="false">
      <c r="A93" s="1" t="s">
        <v>95</v>
      </c>
      <c r="B93" s="1" t="s">
        <v>100</v>
      </c>
      <c r="C93" s="1" t="n">
        <v>420172</v>
      </c>
      <c r="D93" s="1" t="n">
        <v>10.95</v>
      </c>
      <c r="E93" s="1" t="n">
        <v>4600465</v>
      </c>
      <c r="F93" s="1" t="n">
        <v>0.5999</v>
      </c>
    </row>
    <row r="94" customFormat="false" ht="15" hidden="false" customHeight="false" outlineLevel="0" collapsed="false">
      <c r="A94" s="1" t="s">
        <v>96</v>
      </c>
      <c r="B94" s="1" t="s">
        <v>100</v>
      </c>
      <c r="C94" s="1" t="n">
        <v>420432</v>
      </c>
      <c r="D94" s="1" t="n">
        <v>10.87</v>
      </c>
      <c r="E94" s="1" t="n">
        <v>4568362</v>
      </c>
      <c r="F94" s="1" t="n">
        <v>0.5958</v>
      </c>
    </row>
    <row r="95" customFormat="false" ht="15" hidden="false" customHeight="false" outlineLevel="0" collapsed="false">
      <c r="A95" s="1" t="s">
        <v>97</v>
      </c>
      <c r="B95" s="1" t="s">
        <v>100</v>
      </c>
      <c r="C95" s="1" t="n">
        <v>416807</v>
      </c>
      <c r="D95" s="1" t="n">
        <v>10.89</v>
      </c>
      <c r="E95" s="1" t="n">
        <v>4537969</v>
      </c>
      <c r="F95" s="1" t="n">
        <v>0.5981</v>
      </c>
    </row>
    <row r="96" customFormat="false" ht="15" hidden="false" customHeight="false" outlineLevel="0" collapsed="false">
      <c r="A96" s="1" t="s">
        <v>98</v>
      </c>
      <c r="B96" s="1" t="s">
        <v>100</v>
      </c>
      <c r="C96" s="1" t="n">
        <v>420773</v>
      </c>
      <c r="D96" s="1" t="n">
        <v>10.98</v>
      </c>
      <c r="E96" s="1" t="n">
        <v>4620201</v>
      </c>
      <c r="F96" s="1" t="n">
        <v>0.5975</v>
      </c>
    </row>
    <row r="97" customFormat="false" ht="15" hidden="false" customHeight="false" outlineLevel="0" collapsed="false">
      <c r="A97" s="1" t="s">
        <v>99</v>
      </c>
      <c r="B97" s="1" t="s">
        <v>100</v>
      </c>
      <c r="C97" s="1" t="n">
        <v>424328</v>
      </c>
      <c r="D97" s="1" t="n">
        <v>11.15</v>
      </c>
      <c r="E97" s="1" t="n">
        <v>4729338</v>
      </c>
      <c r="F97" s="1" t="n">
        <v>0.5788</v>
      </c>
    </row>
    <row r="98" customFormat="false" ht="15" hidden="false" customHeight="false" outlineLevel="0" collapsed="false">
      <c r="A98" s="1" t="s">
        <v>51</v>
      </c>
      <c r="B98" s="1" t="s">
        <v>101</v>
      </c>
      <c r="C98" s="1" t="n">
        <v>181906</v>
      </c>
      <c r="D98" s="1" t="n">
        <v>17.55</v>
      </c>
      <c r="E98" s="1" t="n">
        <v>3193313</v>
      </c>
      <c r="F98" s="1" t="n">
        <v>0.5226</v>
      </c>
    </row>
    <row r="99" customFormat="false" ht="15" hidden="false" customHeight="false" outlineLevel="0" collapsed="false">
      <c r="A99" s="1" t="s">
        <v>53</v>
      </c>
      <c r="B99" s="1" t="s">
        <v>101</v>
      </c>
      <c r="C99" s="1" t="n">
        <v>180782</v>
      </c>
      <c r="D99" s="1" t="n">
        <v>17.62</v>
      </c>
      <c r="E99" s="1" t="n">
        <v>3185284</v>
      </c>
      <c r="F99" s="1" t="n">
        <v>0.5231</v>
      </c>
    </row>
    <row r="100" customFormat="false" ht="15" hidden="false" customHeight="false" outlineLevel="0" collapsed="false">
      <c r="A100" s="1" t="s">
        <v>54</v>
      </c>
      <c r="B100" s="1" t="s">
        <v>101</v>
      </c>
      <c r="C100" s="1" t="n">
        <v>181125</v>
      </c>
      <c r="D100" s="1" t="n">
        <v>17.45</v>
      </c>
      <c r="E100" s="1" t="n">
        <v>3161523</v>
      </c>
      <c r="F100" s="1" t="n">
        <v>0.5181</v>
      </c>
    </row>
    <row r="101" customFormat="false" ht="15" hidden="false" customHeight="false" outlineLevel="0" collapsed="false">
      <c r="A101" s="1" t="s">
        <v>55</v>
      </c>
      <c r="B101" s="1" t="s">
        <v>101</v>
      </c>
      <c r="C101" s="1" t="n">
        <v>182610</v>
      </c>
      <c r="D101" s="1" t="n">
        <v>17.59</v>
      </c>
      <c r="E101" s="1" t="n">
        <v>3212438</v>
      </c>
      <c r="F101" s="1" t="n">
        <v>0.5129</v>
      </c>
    </row>
    <row r="102" customFormat="false" ht="15" hidden="false" customHeight="false" outlineLevel="0" collapsed="false">
      <c r="A102" s="1" t="s">
        <v>56</v>
      </c>
      <c r="B102" s="1" t="s">
        <v>101</v>
      </c>
      <c r="C102" s="1" t="n">
        <v>181123</v>
      </c>
      <c r="D102" s="1" t="n">
        <v>17.55</v>
      </c>
      <c r="E102" s="1" t="n">
        <v>3179350</v>
      </c>
      <c r="F102" s="1" t="n">
        <v>0.5177</v>
      </c>
    </row>
    <row r="103" customFormat="false" ht="15" hidden="false" customHeight="false" outlineLevel="0" collapsed="false">
      <c r="A103" s="1" t="s">
        <v>57</v>
      </c>
      <c r="B103" s="1" t="s">
        <v>101</v>
      </c>
      <c r="C103" s="1" t="n">
        <v>181005</v>
      </c>
      <c r="D103" s="1" t="n">
        <v>17.55</v>
      </c>
      <c r="E103" s="1" t="n">
        <v>3177339</v>
      </c>
      <c r="F103" s="1" t="n">
        <v>0.5233</v>
      </c>
    </row>
    <row r="104" customFormat="false" ht="15" hidden="false" customHeight="false" outlineLevel="0" collapsed="false">
      <c r="A104" s="1" t="s">
        <v>58</v>
      </c>
      <c r="B104" s="1" t="s">
        <v>101</v>
      </c>
      <c r="C104" s="1" t="n">
        <v>180919</v>
      </c>
      <c r="D104" s="1" t="n">
        <v>17.78</v>
      </c>
      <c r="E104" s="1" t="n">
        <v>3217008</v>
      </c>
      <c r="F104" s="1" t="n">
        <v>0.5242</v>
      </c>
    </row>
    <row r="105" customFormat="false" ht="15" hidden="false" customHeight="false" outlineLevel="0" collapsed="false">
      <c r="A105" s="1" t="s">
        <v>59</v>
      </c>
      <c r="B105" s="1" t="s">
        <v>101</v>
      </c>
      <c r="C105" s="1" t="n">
        <v>179331</v>
      </c>
      <c r="D105" s="1" t="n">
        <v>18.12</v>
      </c>
      <c r="E105" s="1" t="n">
        <v>3248610</v>
      </c>
      <c r="F105" s="1" t="n">
        <v>0.5275</v>
      </c>
    </row>
    <row r="106" customFormat="false" ht="15" hidden="false" customHeight="false" outlineLevel="0" collapsed="false">
      <c r="A106" s="1" t="s">
        <v>60</v>
      </c>
      <c r="B106" s="1" t="s">
        <v>101</v>
      </c>
      <c r="C106" s="1" t="n">
        <v>177507</v>
      </c>
      <c r="D106" s="1" t="n">
        <v>18.15</v>
      </c>
      <c r="E106" s="1" t="n">
        <v>3221416</v>
      </c>
      <c r="F106" s="1" t="n">
        <v>0.5246</v>
      </c>
    </row>
    <row r="107" customFormat="false" ht="15" hidden="false" customHeight="false" outlineLevel="0" collapsed="false">
      <c r="A107" s="1" t="s">
        <v>61</v>
      </c>
      <c r="B107" s="1" t="s">
        <v>101</v>
      </c>
      <c r="C107" s="1" t="n">
        <v>176562</v>
      </c>
      <c r="D107" s="1" t="n">
        <v>17.91</v>
      </c>
      <c r="E107" s="1" t="n">
        <v>3162260</v>
      </c>
      <c r="F107" s="1" t="n">
        <v>0.5322</v>
      </c>
    </row>
    <row r="108" customFormat="false" ht="15" hidden="false" customHeight="false" outlineLevel="0" collapsed="false">
      <c r="A108" s="1" t="s">
        <v>62</v>
      </c>
      <c r="B108" s="1" t="s">
        <v>101</v>
      </c>
      <c r="C108" s="1" t="n">
        <v>176023</v>
      </c>
      <c r="D108" s="1" t="n">
        <v>17.64</v>
      </c>
      <c r="E108" s="1" t="n">
        <v>3105104</v>
      </c>
      <c r="F108" s="1" t="n">
        <v>0.5195</v>
      </c>
    </row>
    <row r="109" customFormat="false" ht="15" hidden="false" customHeight="false" outlineLevel="0" collapsed="false">
      <c r="A109" s="1" t="s">
        <v>63</v>
      </c>
      <c r="B109" s="1" t="s">
        <v>101</v>
      </c>
      <c r="C109" s="1" t="n">
        <v>174505</v>
      </c>
      <c r="D109" s="1" t="n">
        <v>17.79</v>
      </c>
      <c r="E109" s="1" t="n">
        <v>3104175</v>
      </c>
      <c r="F109" s="1" t="n">
        <v>0.516</v>
      </c>
    </row>
    <row r="110" customFormat="false" ht="15" hidden="false" customHeight="false" outlineLevel="0" collapsed="false">
      <c r="A110" s="1" t="s">
        <v>64</v>
      </c>
      <c r="B110" s="1" t="s">
        <v>101</v>
      </c>
      <c r="C110" s="1" t="n">
        <v>173877</v>
      </c>
      <c r="D110" s="1" t="n">
        <v>17.71</v>
      </c>
      <c r="E110" s="1" t="n">
        <v>3079232</v>
      </c>
      <c r="F110" s="1" t="n">
        <v>0.5047</v>
      </c>
    </row>
    <row r="111" customFormat="false" ht="15" hidden="false" customHeight="false" outlineLevel="0" collapsed="false">
      <c r="A111" s="1" t="s">
        <v>65</v>
      </c>
      <c r="B111" s="1" t="s">
        <v>101</v>
      </c>
      <c r="C111" s="1" t="n">
        <v>175079</v>
      </c>
      <c r="D111" s="1" t="n">
        <v>17.59</v>
      </c>
      <c r="E111" s="1" t="n">
        <v>3078956</v>
      </c>
      <c r="F111" s="1" t="n">
        <v>0.5172</v>
      </c>
    </row>
    <row r="112" customFormat="false" ht="15" hidden="false" customHeight="false" outlineLevel="0" collapsed="false">
      <c r="A112" s="1" t="s">
        <v>66</v>
      </c>
      <c r="B112" s="1" t="s">
        <v>101</v>
      </c>
      <c r="C112" s="1" t="n">
        <v>176085</v>
      </c>
      <c r="D112" s="1" t="n">
        <v>17.49</v>
      </c>
      <c r="E112" s="1" t="n">
        <v>3078948</v>
      </c>
      <c r="F112" s="1" t="n">
        <v>0.5251</v>
      </c>
    </row>
    <row r="113" customFormat="false" ht="15" hidden="false" customHeight="false" outlineLevel="0" collapsed="false">
      <c r="A113" s="1" t="s">
        <v>67</v>
      </c>
      <c r="B113" s="1" t="s">
        <v>101</v>
      </c>
      <c r="C113" s="1" t="n">
        <v>175216</v>
      </c>
      <c r="D113" s="1" t="n">
        <v>17.43</v>
      </c>
      <c r="E113" s="1" t="n">
        <v>3053982</v>
      </c>
      <c r="F113" s="1" t="n">
        <v>0.5143</v>
      </c>
    </row>
    <row r="114" customFormat="false" ht="15" hidden="false" customHeight="false" outlineLevel="0" collapsed="false">
      <c r="A114" s="1" t="s">
        <v>68</v>
      </c>
      <c r="B114" s="1" t="s">
        <v>101</v>
      </c>
      <c r="C114" s="1" t="n">
        <v>175887</v>
      </c>
      <c r="D114" s="1" t="n">
        <v>17.47</v>
      </c>
      <c r="E114" s="1" t="n">
        <v>3072038</v>
      </c>
      <c r="F114" s="1" t="n">
        <v>0.524</v>
      </c>
    </row>
    <row r="115" customFormat="false" ht="15" hidden="false" customHeight="false" outlineLevel="0" collapsed="false">
      <c r="A115" s="1" t="s">
        <v>69</v>
      </c>
      <c r="B115" s="1" t="s">
        <v>101</v>
      </c>
      <c r="C115" s="1" t="n">
        <v>173976</v>
      </c>
      <c r="D115" s="1" t="n">
        <v>17.23</v>
      </c>
      <c r="E115" s="1" t="n">
        <v>2998088</v>
      </c>
      <c r="F115" s="1" t="n">
        <v>0.5071</v>
      </c>
    </row>
    <row r="116" customFormat="false" ht="15" hidden="false" customHeight="false" outlineLevel="0" collapsed="false">
      <c r="A116" s="1" t="s">
        <v>70</v>
      </c>
      <c r="B116" s="1" t="s">
        <v>101</v>
      </c>
      <c r="C116" s="1" t="n">
        <v>172668</v>
      </c>
      <c r="D116" s="1" t="n">
        <v>17.14</v>
      </c>
      <c r="E116" s="1" t="n">
        <v>2959680</v>
      </c>
      <c r="F116" s="1" t="n">
        <v>0.5156</v>
      </c>
    </row>
    <row r="117" customFormat="false" ht="15" hidden="false" customHeight="false" outlineLevel="0" collapsed="false">
      <c r="A117" s="1" t="s">
        <v>71</v>
      </c>
      <c r="B117" s="1" t="s">
        <v>101</v>
      </c>
      <c r="C117" s="1" t="n">
        <v>174029</v>
      </c>
      <c r="D117" s="1" t="n">
        <v>17.17</v>
      </c>
      <c r="E117" s="1" t="n">
        <v>2987453</v>
      </c>
      <c r="F117" s="1" t="n">
        <v>0.5273</v>
      </c>
    </row>
    <row r="118" customFormat="false" ht="15" hidden="false" customHeight="false" outlineLevel="0" collapsed="false">
      <c r="A118" s="1" t="s">
        <v>72</v>
      </c>
      <c r="B118" s="1" t="s">
        <v>101</v>
      </c>
      <c r="C118" s="1" t="n">
        <v>173865</v>
      </c>
      <c r="D118" s="1" t="n">
        <v>16.95</v>
      </c>
      <c r="E118" s="1" t="n">
        <v>2947298</v>
      </c>
      <c r="F118" s="1" t="n">
        <v>0.5222</v>
      </c>
    </row>
    <row r="119" customFormat="false" ht="15" hidden="false" customHeight="false" outlineLevel="0" collapsed="false">
      <c r="A119" s="1" t="s">
        <v>73</v>
      </c>
      <c r="B119" s="1" t="s">
        <v>101</v>
      </c>
      <c r="C119" s="1" t="n">
        <v>173687</v>
      </c>
      <c r="D119" s="1" t="n">
        <v>16.62</v>
      </c>
      <c r="E119" s="1" t="n">
        <v>2885959</v>
      </c>
      <c r="F119" s="1" t="n">
        <v>0.5191</v>
      </c>
    </row>
    <row r="120" customFormat="false" ht="15" hidden="false" customHeight="false" outlineLevel="0" collapsed="false">
      <c r="A120" s="1" t="s">
        <v>74</v>
      </c>
      <c r="B120" s="1" t="s">
        <v>101</v>
      </c>
      <c r="C120" s="1" t="n">
        <v>172648</v>
      </c>
      <c r="D120" s="1" t="n">
        <v>16.39</v>
      </c>
      <c r="E120" s="1" t="n">
        <v>2829270</v>
      </c>
      <c r="F120" s="1" t="n">
        <v>0.5216</v>
      </c>
    </row>
    <row r="121" customFormat="false" ht="15" hidden="false" customHeight="false" outlineLevel="0" collapsed="false">
      <c r="A121" s="1" t="s">
        <v>75</v>
      </c>
      <c r="B121" s="1" t="s">
        <v>101</v>
      </c>
      <c r="C121" s="1" t="n">
        <v>172782</v>
      </c>
      <c r="D121" s="1" t="n">
        <v>16.16</v>
      </c>
      <c r="E121" s="1" t="n">
        <v>2792295</v>
      </c>
      <c r="F121" s="1" t="n">
        <v>0.5063</v>
      </c>
    </row>
    <row r="122" customFormat="false" ht="15" hidden="false" customHeight="false" outlineLevel="0" collapsed="false">
      <c r="A122" s="1" t="s">
        <v>76</v>
      </c>
      <c r="B122" s="1" t="s">
        <v>101</v>
      </c>
      <c r="C122" s="1" t="n">
        <v>172537</v>
      </c>
      <c r="D122" s="1" t="n">
        <v>16.19</v>
      </c>
      <c r="E122" s="1" t="n">
        <v>2793865</v>
      </c>
      <c r="F122" s="1" t="n">
        <v>0.5085</v>
      </c>
    </row>
    <row r="123" customFormat="false" ht="15" hidden="false" customHeight="false" outlineLevel="0" collapsed="false">
      <c r="A123" s="1" t="s">
        <v>77</v>
      </c>
      <c r="B123" s="1" t="s">
        <v>101</v>
      </c>
      <c r="C123" s="1" t="n">
        <v>173062</v>
      </c>
      <c r="D123" s="1" t="n">
        <v>15.95</v>
      </c>
      <c r="E123" s="1" t="n">
        <v>2761067</v>
      </c>
      <c r="F123" s="1" t="n">
        <v>0.5176</v>
      </c>
    </row>
    <row r="124" customFormat="false" ht="15" hidden="false" customHeight="false" outlineLevel="0" collapsed="false">
      <c r="A124" s="1" t="s">
        <v>78</v>
      </c>
      <c r="B124" s="1" t="s">
        <v>101</v>
      </c>
      <c r="C124" s="1" t="n">
        <v>172443</v>
      </c>
      <c r="D124" s="1" t="n">
        <v>15.92</v>
      </c>
      <c r="E124" s="1" t="n">
        <v>2745614</v>
      </c>
      <c r="F124" s="1" t="n">
        <v>0.5331</v>
      </c>
    </row>
    <row r="125" customFormat="false" ht="15" hidden="false" customHeight="false" outlineLevel="0" collapsed="false">
      <c r="A125" s="1" t="s">
        <v>79</v>
      </c>
      <c r="B125" s="1" t="s">
        <v>101</v>
      </c>
      <c r="C125" s="1" t="n">
        <v>172145</v>
      </c>
      <c r="D125" s="1" t="n">
        <v>15.5</v>
      </c>
      <c r="E125" s="1" t="n">
        <v>2668226</v>
      </c>
      <c r="F125" s="1" t="n">
        <v>0.5244</v>
      </c>
    </row>
    <row r="126" customFormat="false" ht="15" hidden="false" customHeight="false" outlineLevel="0" collapsed="false">
      <c r="A126" s="1" t="s">
        <v>80</v>
      </c>
      <c r="B126" s="1" t="s">
        <v>101</v>
      </c>
      <c r="C126" s="1" t="n">
        <v>170585</v>
      </c>
      <c r="D126" s="1" t="n">
        <v>15</v>
      </c>
      <c r="E126" s="1" t="n">
        <v>2558519</v>
      </c>
      <c r="F126" s="1" t="n">
        <v>0.5137</v>
      </c>
    </row>
    <row r="127" customFormat="false" ht="15" hidden="false" customHeight="false" outlineLevel="0" collapsed="false">
      <c r="A127" s="1" t="s">
        <v>81</v>
      </c>
      <c r="B127" s="1" t="s">
        <v>101</v>
      </c>
      <c r="C127" s="1" t="n">
        <v>172147</v>
      </c>
      <c r="D127" s="1" t="n">
        <v>14.99</v>
      </c>
      <c r="E127" s="1" t="n">
        <v>2579769</v>
      </c>
      <c r="F127" s="1" t="n">
        <v>0.5346</v>
      </c>
    </row>
    <row r="128" customFormat="false" ht="15" hidden="false" customHeight="false" outlineLevel="0" collapsed="false">
      <c r="A128" s="1" t="s">
        <v>82</v>
      </c>
      <c r="B128" s="1" t="s">
        <v>101</v>
      </c>
      <c r="C128" s="1" t="n">
        <v>172202</v>
      </c>
      <c r="D128" s="1" t="n">
        <v>14.94</v>
      </c>
      <c r="E128" s="1" t="n">
        <v>2571981</v>
      </c>
      <c r="F128" s="1" t="n">
        <v>0.5113</v>
      </c>
    </row>
    <row r="129" customFormat="false" ht="15" hidden="false" customHeight="false" outlineLevel="0" collapsed="false">
      <c r="A129" s="1" t="s">
        <v>83</v>
      </c>
      <c r="B129" s="1" t="s">
        <v>101</v>
      </c>
      <c r="C129" s="1" t="n">
        <v>170468</v>
      </c>
      <c r="D129" s="1" t="n">
        <v>14.87</v>
      </c>
      <c r="E129" s="1" t="n">
        <v>2535239</v>
      </c>
      <c r="F129" s="1" t="n">
        <v>0.5143</v>
      </c>
    </row>
    <row r="130" customFormat="false" ht="15" hidden="false" customHeight="false" outlineLevel="0" collapsed="false">
      <c r="A130" s="1" t="s">
        <v>84</v>
      </c>
      <c r="B130" s="1" t="s">
        <v>101</v>
      </c>
      <c r="C130" s="1" t="n">
        <v>170149</v>
      </c>
      <c r="D130" s="1" t="n">
        <v>14.78</v>
      </c>
      <c r="E130" s="1" t="n">
        <v>2514210</v>
      </c>
      <c r="F130" s="1" t="n">
        <v>0.5336</v>
      </c>
    </row>
    <row r="131" customFormat="false" ht="15" hidden="false" customHeight="false" outlineLevel="0" collapsed="false">
      <c r="A131" s="1" t="s">
        <v>85</v>
      </c>
      <c r="B131" s="1" t="s">
        <v>101</v>
      </c>
      <c r="C131" s="1" t="n">
        <v>169388</v>
      </c>
      <c r="D131" s="1" t="n">
        <v>14.97</v>
      </c>
      <c r="E131" s="1" t="n">
        <v>2535013</v>
      </c>
      <c r="F131" s="1" t="n">
        <v>0.5221</v>
      </c>
    </row>
    <row r="132" customFormat="false" ht="15" hidden="false" customHeight="false" outlineLevel="0" collapsed="false">
      <c r="A132" s="1" t="s">
        <v>86</v>
      </c>
      <c r="B132" s="1" t="s">
        <v>101</v>
      </c>
      <c r="C132" s="1" t="n">
        <v>170451</v>
      </c>
      <c r="D132" s="1" t="n">
        <v>15.01</v>
      </c>
      <c r="E132" s="1" t="n">
        <v>2558807</v>
      </c>
      <c r="F132" s="1" t="n">
        <v>0.5066</v>
      </c>
    </row>
    <row r="133" customFormat="false" ht="15" hidden="false" customHeight="false" outlineLevel="0" collapsed="false">
      <c r="A133" s="1" t="s">
        <v>87</v>
      </c>
      <c r="B133" s="1" t="s">
        <v>101</v>
      </c>
      <c r="C133" s="1" t="n">
        <v>170087</v>
      </c>
      <c r="D133" s="1" t="n">
        <v>15.01</v>
      </c>
      <c r="E133" s="1" t="n">
        <v>2552288</v>
      </c>
      <c r="F133" s="1" t="n">
        <v>0.5073</v>
      </c>
    </row>
    <row r="134" customFormat="false" ht="15" hidden="false" customHeight="false" outlineLevel="0" collapsed="false">
      <c r="A134" s="1" t="s">
        <v>88</v>
      </c>
      <c r="B134" s="1" t="s">
        <v>101</v>
      </c>
      <c r="C134" s="1" t="n">
        <v>170803</v>
      </c>
      <c r="D134" s="1" t="n">
        <v>15.15</v>
      </c>
      <c r="E134" s="1" t="n">
        <v>2587477</v>
      </c>
      <c r="F134" s="1" t="n">
        <v>0.5137</v>
      </c>
    </row>
    <row r="135" customFormat="false" ht="15" hidden="false" customHeight="false" outlineLevel="0" collapsed="false">
      <c r="A135" s="1" t="s">
        <v>89</v>
      </c>
      <c r="B135" s="1" t="s">
        <v>101</v>
      </c>
      <c r="C135" s="1" t="n">
        <v>169008</v>
      </c>
      <c r="D135" s="1" t="n">
        <v>15.18</v>
      </c>
      <c r="E135" s="1" t="n">
        <v>2564841</v>
      </c>
      <c r="F135" s="1" t="n">
        <v>0.5135</v>
      </c>
    </row>
    <row r="136" customFormat="false" ht="15" hidden="false" customHeight="false" outlineLevel="0" collapsed="false">
      <c r="A136" s="1" t="s">
        <v>90</v>
      </c>
      <c r="B136" s="1" t="s">
        <v>101</v>
      </c>
      <c r="C136" s="1" t="n">
        <v>167707</v>
      </c>
      <c r="D136" s="1" t="n">
        <v>15.14</v>
      </c>
      <c r="E136" s="1" t="n">
        <v>2539224</v>
      </c>
      <c r="F136" s="1" t="n">
        <v>0.514</v>
      </c>
    </row>
    <row r="137" customFormat="false" ht="15" hidden="false" customHeight="false" outlineLevel="0" collapsed="false">
      <c r="A137" s="1" t="s">
        <v>91</v>
      </c>
      <c r="B137" s="1" t="s">
        <v>101</v>
      </c>
      <c r="C137" s="1" t="n">
        <v>166732</v>
      </c>
      <c r="D137" s="1" t="n">
        <v>15.1</v>
      </c>
      <c r="E137" s="1" t="n">
        <v>2516943</v>
      </c>
      <c r="F137" s="1" t="n">
        <v>0.5116</v>
      </c>
    </row>
    <row r="138" customFormat="false" ht="15" hidden="false" customHeight="false" outlineLevel="0" collapsed="false">
      <c r="A138" s="1" t="s">
        <v>92</v>
      </c>
      <c r="B138" s="1" t="s">
        <v>101</v>
      </c>
      <c r="C138" s="1" t="n">
        <v>165679</v>
      </c>
      <c r="D138" s="1" t="n">
        <v>14.97</v>
      </c>
      <c r="E138" s="1" t="n">
        <v>2480480</v>
      </c>
      <c r="F138" s="1" t="n">
        <v>0.5236</v>
      </c>
    </row>
    <row r="139" customFormat="false" ht="15" hidden="false" customHeight="false" outlineLevel="0" collapsed="false">
      <c r="A139" s="1" t="s">
        <v>93</v>
      </c>
      <c r="B139" s="1" t="s">
        <v>101</v>
      </c>
      <c r="C139" s="1" t="n">
        <v>166246</v>
      </c>
      <c r="D139" s="1" t="n">
        <v>15.04</v>
      </c>
      <c r="E139" s="1" t="n">
        <v>2499624</v>
      </c>
      <c r="F139" s="1" t="n">
        <v>0.5244</v>
      </c>
    </row>
    <row r="140" customFormat="false" ht="15" hidden="false" customHeight="false" outlineLevel="0" collapsed="false">
      <c r="A140" s="1" t="s">
        <v>94</v>
      </c>
      <c r="B140" s="1" t="s">
        <v>101</v>
      </c>
      <c r="C140" s="1" t="n">
        <v>165995</v>
      </c>
      <c r="D140" s="1" t="n">
        <v>15.08</v>
      </c>
      <c r="E140" s="1" t="n">
        <v>2502808</v>
      </c>
      <c r="F140" s="1" t="n">
        <v>0.5168</v>
      </c>
    </row>
    <row r="141" customFormat="false" ht="15" hidden="false" customHeight="false" outlineLevel="0" collapsed="false">
      <c r="A141" s="1" t="s">
        <v>95</v>
      </c>
      <c r="B141" s="1" t="s">
        <v>101</v>
      </c>
      <c r="C141" s="1" t="n">
        <v>165728</v>
      </c>
      <c r="D141" s="1" t="n">
        <v>15.13</v>
      </c>
      <c r="E141" s="1" t="n">
        <v>2506687</v>
      </c>
      <c r="F141" s="1" t="n">
        <v>0.5244</v>
      </c>
    </row>
    <row r="142" customFormat="false" ht="15" hidden="false" customHeight="false" outlineLevel="0" collapsed="false">
      <c r="A142" s="1" t="s">
        <v>96</v>
      </c>
      <c r="B142" s="1" t="s">
        <v>101</v>
      </c>
      <c r="C142" s="1" t="n">
        <v>166534</v>
      </c>
      <c r="D142" s="1" t="n">
        <v>15.05</v>
      </c>
      <c r="E142" s="1" t="n">
        <v>2505833</v>
      </c>
      <c r="F142" s="1" t="n">
        <v>0.5127</v>
      </c>
    </row>
    <row r="143" customFormat="false" ht="15" hidden="false" customHeight="false" outlineLevel="0" collapsed="false">
      <c r="A143" s="1" t="s">
        <v>97</v>
      </c>
      <c r="B143" s="1" t="s">
        <v>101</v>
      </c>
      <c r="C143" s="1" t="n">
        <v>164136</v>
      </c>
      <c r="D143" s="1" t="n">
        <v>15.2</v>
      </c>
      <c r="E143" s="1" t="n">
        <v>2495361</v>
      </c>
      <c r="F143" s="1" t="n">
        <v>0.5191</v>
      </c>
    </row>
    <row r="144" customFormat="false" ht="15" hidden="false" customHeight="false" outlineLevel="0" collapsed="false">
      <c r="A144" s="1" t="s">
        <v>98</v>
      </c>
      <c r="B144" s="1" t="s">
        <v>101</v>
      </c>
      <c r="C144" s="1" t="n">
        <v>164380</v>
      </c>
      <c r="D144" s="1" t="n">
        <v>15.21</v>
      </c>
      <c r="E144" s="1" t="n">
        <v>2499689</v>
      </c>
      <c r="F144" s="1" t="n">
        <v>0.5137</v>
      </c>
    </row>
    <row r="145" customFormat="false" ht="15" hidden="false" customHeight="false" outlineLevel="0" collapsed="false">
      <c r="A145" s="1" t="s">
        <v>99</v>
      </c>
      <c r="B145" s="1" t="s">
        <v>101</v>
      </c>
      <c r="C145" s="1" t="n">
        <v>163846</v>
      </c>
      <c r="D145" s="1" t="n">
        <v>15.12</v>
      </c>
      <c r="E145" s="1" t="n">
        <v>2477373</v>
      </c>
      <c r="F145" s="1" t="n">
        <v>0.5197</v>
      </c>
    </row>
    <row r="146" customFormat="false" ht="15" hidden="false" customHeight="false" outlineLevel="0" collapsed="false">
      <c r="A146" s="1" t="s">
        <v>51</v>
      </c>
      <c r="B146" s="1" t="s">
        <v>102</v>
      </c>
      <c r="C146" s="1" t="n">
        <v>6089</v>
      </c>
      <c r="D146" s="1" t="n">
        <v>138.98</v>
      </c>
      <c r="E146" s="1" t="n">
        <v>846202</v>
      </c>
      <c r="F146" s="1" t="n">
        <v>0.7286</v>
      </c>
    </row>
    <row r="147" customFormat="false" ht="15" hidden="false" customHeight="false" outlineLevel="0" collapsed="false">
      <c r="A147" s="1" t="s">
        <v>53</v>
      </c>
      <c r="B147" s="1" t="s">
        <v>102</v>
      </c>
      <c r="C147" s="1" t="n">
        <v>6009</v>
      </c>
      <c r="D147" s="1" t="n">
        <v>136.92</v>
      </c>
      <c r="E147" s="1" t="n">
        <v>822739</v>
      </c>
      <c r="F147" s="1" t="n">
        <v>0.698</v>
      </c>
    </row>
    <row r="148" customFormat="false" ht="15" hidden="false" customHeight="false" outlineLevel="0" collapsed="false">
      <c r="A148" s="1" t="s">
        <v>54</v>
      </c>
      <c r="B148" s="1" t="s">
        <v>102</v>
      </c>
      <c r="C148" s="1" t="n">
        <v>6037</v>
      </c>
      <c r="D148" s="1" t="n">
        <v>139.08</v>
      </c>
      <c r="E148" s="1" t="n">
        <v>839583</v>
      </c>
      <c r="F148" s="1" t="n">
        <v>0.7114</v>
      </c>
    </row>
    <row r="149" customFormat="false" ht="15" hidden="false" customHeight="false" outlineLevel="0" collapsed="false">
      <c r="A149" s="1" t="s">
        <v>55</v>
      </c>
      <c r="B149" s="1" t="s">
        <v>102</v>
      </c>
      <c r="C149" s="1" t="n">
        <v>5977</v>
      </c>
      <c r="D149" s="1" t="n">
        <v>139.3</v>
      </c>
      <c r="E149" s="1" t="n">
        <v>832520</v>
      </c>
      <c r="F149" s="1" t="n">
        <v>0.71</v>
      </c>
    </row>
    <row r="150" customFormat="false" ht="15" hidden="false" customHeight="false" outlineLevel="0" collapsed="false">
      <c r="A150" s="1" t="s">
        <v>56</v>
      </c>
      <c r="B150" s="1" t="s">
        <v>102</v>
      </c>
      <c r="C150" s="1" t="n">
        <v>5960</v>
      </c>
      <c r="D150" s="1" t="n">
        <v>140.02</v>
      </c>
      <c r="E150" s="1" t="n">
        <v>834577</v>
      </c>
      <c r="F150" s="1" t="n">
        <v>0.7018</v>
      </c>
    </row>
    <row r="151" customFormat="false" ht="15" hidden="false" customHeight="false" outlineLevel="0" collapsed="false">
      <c r="A151" s="1" t="s">
        <v>57</v>
      </c>
      <c r="B151" s="1" t="s">
        <v>102</v>
      </c>
      <c r="C151" s="1" t="n">
        <v>6056</v>
      </c>
      <c r="D151" s="1" t="n">
        <v>136.56</v>
      </c>
      <c r="E151" s="1" t="n">
        <v>827017</v>
      </c>
      <c r="F151" s="1" t="n">
        <v>0.6983</v>
      </c>
    </row>
    <row r="152" customFormat="false" ht="15" hidden="false" customHeight="false" outlineLevel="0" collapsed="false">
      <c r="A152" s="1" t="s">
        <v>58</v>
      </c>
      <c r="B152" s="1" t="s">
        <v>102</v>
      </c>
      <c r="C152" s="1" t="n">
        <v>6082</v>
      </c>
      <c r="D152" s="1" t="n">
        <v>138.46</v>
      </c>
      <c r="E152" s="1" t="n">
        <v>842094</v>
      </c>
      <c r="F152" s="1" t="n">
        <v>0.7093</v>
      </c>
    </row>
    <row r="153" customFormat="false" ht="15" hidden="false" customHeight="false" outlineLevel="0" collapsed="false">
      <c r="A153" s="1" t="s">
        <v>59</v>
      </c>
      <c r="B153" s="1" t="s">
        <v>102</v>
      </c>
      <c r="C153" s="1" t="n">
        <v>6175</v>
      </c>
      <c r="D153" s="1" t="n">
        <v>138.85</v>
      </c>
      <c r="E153" s="1" t="n">
        <v>857410</v>
      </c>
      <c r="F153" s="1" t="n">
        <v>0.6999</v>
      </c>
    </row>
    <row r="154" customFormat="false" ht="15" hidden="false" customHeight="false" outlineLevel="0" collapsed="false">
      <c r="A154" s="1" t="s">
        <v>60</v>
      </c>
      <c r="B154" s="1" t="s">
        <v>102</v>
      </c>
      <c r="C154" s="1" t="n">
        <v>6157</v>
      </c>
      <c r="D154" s="1" t="n">
        <v>138.87</v>
      </c>
      <c r="E154" s="1" t="n">
        <v>855001</v>
      </c>
      <c r="F154" s="1" t="n">
        <v>0.7138</v>
      </c>
    </row>
    <row r="155" customFormat="false" ht="15" hidden="false" customHeight="false" outlineLevel="0" collapsed="false">
      <c r="A155" s="1" t="s">
        <v>61</v>
      </c>
      <c r="B155" s="1" t="s">
        <v>102</v>
      </c>
      <c r="C155" s="1" t="n">
        <v>6170</v>
      </c>
      <c r="D155" s="1" t="n">
        <v>142.11</v>
      </c>
      <c r="E155" s="1" t="n">
        <v>876837</v>
      </c>
      <c r="F155" s="1" t="n">
        <v>0.7115</v>
      </c>
    </row>
    <row r="156" customFormat="false" ht="15" hidden="false" customHeight="false" outlineLevel="0" collapsed="false">
      <c r="A156" s="1" t="s">
        <v>62</v>
      </c>
      <c r="B156" s="1" t="s">
        <v>102</v>
      </c>
      <c r="C156" s="1" t="n">
        <v>6216</v>
      </c>
      <c r="D156" s="1" t="n">
        <v>139.92</v>
      </c>
      <c r="E156" s="1" t="n">
        <v>869745</v>
      </c>
      <c r="F156" s="1" t="n">
        <v>0.7037</v>
      </c>
    </row>
    <row r="157" customFormat="false" ht="15" hidden="false" customHeight="false" outlineLevel="0" collapsed="false">
      <c r="A157" s="1" t="s">
        <v>63</v>
      </c>
      <c r="B157" s="1" t="s">
        <v>102</v>
      </c>
      <c r="C157" s="1" t="n">
        <v>6205</v>
      </c>
      <c r="D157" s="1" t="n">
        <v>142.7</v>
      </c>
      <c r="E157" s="1" t="n">
        <v>885517</v>
      </c>
      <c r="F157" s="1" t="n">
        <v>0.7308</v>
      </c>
    </row>
    <row r="158" customFormat="false" ht="15" hidden="false" customHeight="false" outlineLevel="0" collapsed="false">
      <c r="A158" s="1" t="s">
        <v>64</v>
      </c>
      <c r="B158" s="1" t="s">
        <v>102</v>
      </c>
      <c r="C158" s="1" t="n">
        <v>6265</v>
      </c>
      <c r="D158" s="1" t="n">
        <v>143.24</v>
      </c>
      <c r="E158" s="1" t="n">
        <v>897417</v>
      </c>
      <c r="F158" s="1" t="n">
        <v>0.7341</v>
      </c>
    </row>
    <row r="159" customFormat="false" ht="15" hidden="false" customHeight="false" outlineLevel="0" collapsed="false">
      <c r="A159" s="1" t="s">
        <v>65</v>
      </c>
      <c r="B159" s="1" t="s">
        <v>102</v>
      </c>
      <c r="C159" s="1" t="n">
        <v>6275</v>
      </c>
      <c r="D159" s="1" t="n">
        <v>140.99</v>
      </c>
      <c r="E159" s="1" t="n">
        <v>884725</v>
      </c>
      <c r="F159" s="1" t="n">
        <v>0.7172</v>
      </c>
    </row>
    <row r="160" customFormat="false" ht="15" hidden="false" customHeight="false" outlineLevel="0" collapsed="false">
      <c r="A160" s="1" t="s">
        <v>66</v>
      </c>
      <c r="B160" s="1" t="s">
        <v>102</v>
      </c>
      <c r="C160" s="1" t="n">
        <v>6317</v>
      </c>
      <c r="D160" s="1" t="n">
        <v>140.41</v>
      </c>
      <c r="E160" s="1" t="n">
        <v>887014</v>
      </c>
      <c r="F160" s="1" t="n">
        <v>0.7176</v>
      </c>
    </row>
    <row r="161" customFormat="false" ht="15" hidden="false" customHeight="false" outlineLevel="0" collapsed="false">
      <c r="A161" s="1" t="s">
        <v>67</v>
      </c>
      <c r="B161" s="1" t="s">
        <v>102</v>
      </c>
      <c r="C161" s="1" t="n">
        <v>6378</v>
      </c>
      <c r="D161" s="1" t="n">
        <v>139.78</v>
      </c>
      <c r="E161" s="1" t="n">
        <v>891566</v>
      </c>
      <c r="F161" s="1" t="n">
        <v>0.7244</v>
      </c>
    </row>
    <row r="162" customFormat="false" ht="15" hidden="false" customHeight="false" outlineLevel="0" collapsed="false">
      <c r="A162" s="1" t="s">
        <v>68</v>
      </c>
      <c r="B162" s="1" t="s">
        <v>102</v>
      </c>
      <c r="C162" s="1" t="n">
        <v>6515</v>
      </c>
      <c r="D162" s="1" t="n">
        <v>140.36</v>
      </c>
      <c r="E162" s="1" t="n">
        <v>914402</v>
      </c>
      <c r="F162" s="1" t="n">
        <v>0.7326</v>
      </c>
    </row>
    <row r="163" customFormat="false" ht="15" hidden="false" customHeight="false" outlineLevel="0" collapsed="false">
      <c r="A163" s="1" t="s">
        <v>69</v>
      </c>
      <c r="B163" s="1" t="s">
        <v>102</v>
      </c>
      <c r="C163" s="1" t="n">
        <v>6502</v>
      </c>
      <c r="D163" s="1" t="n">
        <v>142.5</v>
      </c>
      <c r="E163" s="1" t="n">
        <v>926613</v>
      </c>
      <c r="F163" s="1" t="n">
        <v>0.7059</v>
      </c>
    </row>
    <row r="164" customFormat="false" ht="15" hidden="false" customHeight="false" outlineLevel="0" collapsed="false">
      <c r="A164" s="1" t="s">
        <v>70</v>
      </c>
      <c r="B164" s="1" t="s">
        <v>102</v>
      </c>
      <c r="C164" s="1" t="n">
        <v>6536</v>
      </c>
      <c r="D164" s="1" t="n">
        <v>143.8</v>
      </c>
      <c r="E164" s="1" t="n">
        <v>939898</v>
      </c>
      <c r="F164" s="1" t="n">
        <v>0.7289</v>
      </c>
    </row>
    <row r="165" customFormat="false" ht="15" hidden="false" customHeight="false" outlineLevel="0" collapsed="false">
      <c r="A165" s="1" t="s">
        <v>71</v>
      </c>
      <c r="B165" s="1" t="s">
        <v>102</v>
      </c>
      <c r="C165" s="1" t="n">
        <v>6697</v>
      </c>
      <c r="D165" s="1" t="n">
        <v>145.85</v>
      </c>
      <c r="E165" s="1" t="n">
        <v>976860</v>
      </c>
      <c r="F165" s="1" t="n">
        <v>0.7124</v>
      </c>
    </row>
    <row r="166" customFormat="false" ht="15" hidden="false" customHeight="false" outlineLevel="0" collapsed="false">
      <c r="A166" s="1" t="s">
        <v>72</v>
      </c>
      <c r="B166" s="1" t="s">
        <v>102</v>
      </c>
      <c r="C166" s="1" t="n">
        <v>6717</v>
      </c>
      <c r="D166" s="1" t="n">
        <v>144.77</v>
      </c>
      <c r="E166" s="1" t="n">
        <v>972386</v>
      </c>
      <c r="F166" s="1" t="n">
        <v>0.7041</v>
      </c>
    </row>
    <row r="167" customFormat="false" ht="15" hidden="false" customHeight="false" outlineLevel="0" collapsed="false">
      <c r="A167" s="1" t="s">
        <v>73</v>
      </c>
      <c r="B167" s="1" t="s">
        <v>102</v>
      </c>
      <c r="C167" s="1" t="n">
        <v>6770</v>
      </c>
      <c r="D167" s="1" t="n">
        <v>144.96</v>
      </c>
      <c r="E167" s="1" t="n">
        <v>981346</v>
      </c>
      <c r="F167" s="1" t="n">
        <v>0.7052</v>
      </c>
    </row>
    <row r="168" customFormat="false" ht="15" hidden="false" customHeight="false" outlineLevel="0" collapsed="false">
      <c r="A168" s="1" t="s">
        <v>74</v>
      </c>
      <c r="B168" s="1" t="s">
        <v>102</v>
      </c>
      <c r="C168" s="1" t="n">
        <v>6873</v>
      </c>
      <c r="D168" s="1" t="n">
        <v>145.06</v>
      </c>
      <c r="E168" s="1" t="n">
        <v>997013</v>
      </c>
      <c r="F168" s="1" t="n">
        <v>0.7186</v>
      </c>
    </row>
    <row r="169" customFormat="false" ht="15" hidden="false" customHeight="false" outlineLevel="0" collapsed="false">
      <c r="A169" s="1" t="s">
        <v>75</v>
      </c>
      <c r="B169" s="1" t="s">
        <v>102</v>
      </c>
      <c r="C169" s="1" t="n">
        <v>6890</v>
      </c>
      <c r="D169" s="1" t="n">
        <v>145.89</v>
      </c>
      <c r="E169" s="1" t="n">
        <v>1005109</v>
      </c>
      <c r="F169" s="1" t="n">
        <v>0.7111</v>
      </c>
    </row>
    <row r="170" customFormat="false" ht="15" hidden="false" customHeight="false" outlineLevel="0" collapsed="false">
      <c r="A170" s="1" t="s">
        <v>76</v>
      </c>
      <c r="B170" s="1" t="s">
        <v>102</v>
      </c>
      <c r="C170" s="1" t="n">
        <v>7064</v>
      </c>
      <c r="D170" s="1" t="n">
        <v>144.93</v>
      </c>
      <c r="E170" s="1" t="n">
        <v>1023764</v>
      </c>
      <c r="F170" s="1" t="n">
        <v>0.7115</v>
      </c>
    </row>
    <row r="171" customFormat="false" ht="15" hidden="false" customHeight="false" outlineLevel="0" collapsed="false">
      <c r="A171" s="1" t="s">
        <v>77</v>
      </c>
      <c r="B171" s="1" t="s">
        <v>102</v>
      </c>
      <c r="C171" s="1" t="n">
        <v>7137</v>
      </c>
      <c r="D171" s="1" t="n">
        <v>143.97</v>
      </c>
      <c r="E171" s="1" t="n">
        <v>1027484</v>
      </c>
      <c r="F171" s="1" t="n">
        <v>0.7046</v>
      </c>
    </row>
    <row r="172" customFormat="false" ht="15" hidden="false" customHeight="false" outlineLevel="0" collapsed="false">
      <c r="A172" s="1" t="s">
        <v>78</v>
      </c>
      <c r="B172" s="1" t="s">
        <v>102</v>
      </c>
      <c r="C172" s="1" t="n">
        <v>7195</v>
      </c>
      <c r="D172" s="1" t="n">
        <v>144.46</v>
      </c>
      <c r="E172" s="1" t="n">
        <v>1039450</v>
      </c>
      <c r="F172" s="1" t="n">
        <v>0.6969</v>
      </c>
    </row>
    <row r="173" customFormat="false" ht="15" hidden="false" customHeight="false" outlineLevel="0" collapsed="false">
      <c r="A173" s="1" t="s">
        <v>79</v>
      </c>
      <c r="B173" s="1" t="s">
        <v>102</v>
      </c>
      <c r="C173" s="1" t="n">
        <v>7235</v>
      </c>
      <c r="D173" s="1" t="n">
        <v>144.15</v>
      </c>
      <c r="E173" s="1" t="n">
        <v>1042828</v>
      </c>
      <c r="F173" s="1" t="n">
        <v>0.72</v>
      </c>
    </row>
    <row r="174" customFormat="false" ht="15" hidden="false" customHeight="false" outlineLevel="0" collapsed="false">
      <c r="A174" s="1" t="s">
        <v>80</v>
      </c>
      <c r="B174" s="1" t="s">
        <v>102</v>
      </c>
      <c r="C174" s="1" t="n">
        <v>7312</v>
      </c>
      <c r="D174" s="1" t="n">
        <v>144.66</v>
      </c>
      <c r="E174" s="1" t="n">
        <v>1057703</v>
      </c>
      <c r="F174" s="1" t="n">
        <v>0.6995</v>
      </c>
    </row>
    <row r="175" customFormat="false" ht="15" hidden="false" customHeight="false" outlineLevel="0" collapsed="false">
      <c r="A175" s="1" t="s">
        <v>81</v>
      </c>
      <c r="B175" s="1" t="s">
        <v>102</v>
      </c>
      <c r="C175" s="1" t="n">
        <v>7437</v>
      </c>
      <c r="D175" s="1" t="n">
        <v>143.48</v>
      </c>
      <c r="E175" s="1" t="n">
        <v>1067057</v>
      </c>
      <c r="F175" s="1" t="n">
        <v>0.7079</v>
      </c>
    </row>
    <row r="176" customFormat="false" ht="15" hidden="false" customHeight="false" outlineLevel="0" collapsed="false">
      <c r="A176" s="1" t="s">
        <v>82</v>
      </c>
      <c r="B176" s="1" t="s">
        <v>102</v>
      </c>
      <c r="C176" s="1" t="n">
        <v>7381</v>
      </c>
      <c r="D176" s="1" t="n">
        <v>145.22</v>
      </c>
      <c r="E176" s="1" t="n">
        <v>1071797</v>
      </c>
      <c r="F176" s="1" t="n">
        <v>0.7111</v>
      </c>
    </row>
    <row r="177" customFormat="false" ht="15" hidden="false" customHeight="false" outlineLevel="0" collapsed="false">
      <c r="A177" s="1" t="s">
        <v>83</v>
      </c>
      <c r="B177" s="1" t="s">
        <v>102</v>
      </c>
      <c r="C177" s="1" t="n">
        <v>7455</v>
      </c>
      <c r="D177" s="1" t="n">
        <v>147.91</v>
      </c>
      <c r="E177" s="1" t="n">
        <v>1102675</v>
      </c>
      <c r="F177" s="1" t="n">
        <v>0.724</v>
      </c>
    </row>
    <row r="178" customFormat="false" ht="15" hidden="false" customHeight="false" outlineLevel="0" collapsed="false">
      <c r="A178" s="1" t="s">
        <v>84</v>
      </c>
      <c r="B178" s="1" t="s">
        <v>102</v>
      </c>
      <c r="C178" s="1" t="n">
        <v>7483</v>
      </c>
      <c r="D178" s="1" t="n">
        <v>147.48</v>
      </c>
      <c r="E178" s="1" t="n">
        <v>1103585</v>
      </c>
      <c r="F178" s="1" t="n">
        <v>0.7097</v>
      </c>
    </row>
    <row r="179" customFormat="false" ht="15" hidden="false" customHeight="false" outlineLevel="0" collapsed="false">
      <c r="A179" s="1" t="s">
        <v>85</v>
      </c>
      <c r="B179" s="1" t="s">
        <v>102</v>
      </c>
      <c r="C179" s="1" t="n">
        <v>7573</v>
      </c>
      <c r="D179" s="1" t="n">
        <v>147.53</v>
      </c>
      <c r="E179" s="1" t="n">
        <v>1117293</v>
      </c>
      <c r="F179" s="1" t="n">
        <v>0.6957</v>
      </c>
    </row>
    <row r="180" customFormat="false" ht="15" hidden="false" customHeight="false" outlineLevel="0" collapsed="false">
      <c r="A180" s="1" t="s">
        <v>86</v>
      </c>
      <c r="B180" s="1" t="s">
        <v>102</v>
      </c>
      <c r="C180" s="1" t="n">
        <v>7544</v>
      </c>
      <c r="D180" s="1" t="n">
        <v>150.01</v>
      </c>
      <c r="E180" s="1" t="n">
        <v>1131613</v>
      </c>
      <c r="F180" s="1" t="n">
        <v>0.7196</v>
      </c>
    </row>
    <row r="181" customFormat="false" ht="15" hidden="false" customHeight="false" outlineLevel="0" collapsed="false">
      <c r="A181" s="1" t="s">
        <v>87</v>
      </c>
      <c r="B181" s="1" t="s">
        <v>102</v>
      </c>
      <c r="C181" s="1" t="n">
        <v>7598</v>
      </c>
      <c r="D181" s="1" t="n">
        <v>150.9</v>
      </c>
      <c r="E181" s="1" t="n">
        <v>1146571</v>
      </c>
      <c r="F181" s="1" t="n">
        <v>0.7177</v>
      </c>
    </row>
    <row r="182" customFormat="false" ht="15" hidden="false" customHeight="false" outlineLevel="0" collapsed="false">
      <c r="A182" s="1" t="s">
        <v>88</v>
      </c>
      <c r="B182" s="1" t="s">
        <v>102</v>
      </c>
      <c r="C182" s="1" t="n">
        <v>7772</v>
      </c>
      <c r="D182" s="1" t="n">
        <v>151.22</v>
      </c>
      <c r="E182" s="1" t="n">
        <v>1175256</v>
      </c>
      <c r="F182" s="1" t="n">
        <v>0.6991</v>
      </c>
    </row>
    <row r="183" customFormat="false" ht="15" hidden="false" customHeight="false" outlineLevel="0" collapsed="false">
      <c r="A183" s="1" t="s">
        <v>89</v>
      </c>
      <c r="B183" s="1" t="s">
        <v>102</v>
      </c>
      <c r="C183" s="1" t="n">
        <v>7775</v>
      </c>
      <c r="D183" s="1" t="n">
        <v>147.75</v>
      </c>
      <c r="E183" s="1" t="n">
        <v>1148728</v>
      </c>
      <c r="F183" s="1" t="n">
        <v>0.6949</v>
      </c>
    </row>
    <row r="184" customFormat="false" ht="15" hidden="false" customHeight="false" outlineLevel="0" collapsed="false">
      <c r="A184" s="1" t="s">
        <v>90</v>
      </c>
      <c r="B184" s="1" t="s">
        <v>102</v>
      </c>
      <c r="C184" s="1" t="n">
        <v>7888</v>
      </c>
      <c r="D184" s="1" t="n">
        <v>147.06</v>
      </c>
      <c r="E184" s="1" t="n">
        <v>1159924</v>
      </c>
      <c r="F184" s="1" t="n">
        <v>0.7136</v>
      </c>
    </row>
    <row r="185" customFormat="false" ht="15" hidden="false" customHeight="false" outlineLevel="0" collapsed="false">
      <c r="A185" s="1" t="s">
        <v>91</v>
      </c>
      <c r="B185" s="1" t="s">
        <v>102</v>
      </c>
      <c r="C185" s="1" t="n">
        <v>7945</v>
      </c>
      <c r="D185" s="1" t="n">
        <v>144.79</v>
      </c>
      <c r="E185" s="1" t="n">
        <v>1150289</v>
      </c>
      <c r="F185" s="1" t="n">
        <v>0.6984</v>
      </c>
    </row>
    <row r="186" customFormat="false" ht="15" hidden="false" customHeight="false" outlineLevel="0" collapsed="false">
      <c r="A186" s="1" t="s">
        <v>92</v>
      </c>
      <c r="B186" s="1" t="s">
        <v>102</v>
      </c>
      <c r="C186" s="1" t="n">
        <v>7785</v>
      </c>
      <c r="D186" s="1" t="n">
        <v>146.14</v>
      </c>
      <c r="E186" s="1" t="n">
        <v>1137748</v>
      </c>
      <c r="F186" s="1" t="n">
        <v>0.7278</v>
      </c>
    </row>
    <row r="187" customFormat="false" ht="15" hidden="false" customHeight="false" outlineLevel="0" collapsed="false">
      <c r="A187" s="1" t="s">
        <v>93</v>
      </c>
      <c r="B187" s="1" t="s">
        <v>102</v>
      </c>
      <c r="C187" s="1" t="n">
        <v>7780</v>
      </c>
      <c r="D187" s="1" t="n">
        <v>143.18</v>
      </c>
      <c r="E187" s="1" t="n">
        <v>1114034</v>
      </c>
      <c r="F187" s="1" t="n">
        <v>0.7158</v>
      </c>
    </row>
    <row r="188" customFormat="false" ht="15" hidden="false" customHeight="false" outlineLevel="0" collapsed="false">
      <c r="A188" s="1" t="s">
        <v>94</v>
      </c>
      <c r="B188" s="1" t="s">
        <v>102</v>
      </c>
      <c r="C188" s="1" t="n">
        <v>7823</v>
      </c>
      <c r="D188" s="1" t="n">
        <v>144.17</v>
      </c>
      <c r="E188" s="1" t="n">
        <v>1127815</v>
      </c>
      <c r="F188" s="1" t="n">
        <v>0.711</v>
      </c>
    </row>
    <row r="189" customFormat="false" ht="15" hidden="false" customHeight="false" outlineLevel="0" collapsed="false">
      <c r="A189" s="1" t="s">
        <v>95</v>
      </c>
      <c r="B189" s="1" t="s">
        <v>102</v>
      </c>
      <c r="C189" s="1" t="n">
        <v>7885</v>
      </c>
      <c r="D189" s="1" t="n">
        <v>146.87</v>
      </c>
      <c r="E189" s="1" t="n">
        <v>1158047</v>
      </c>
      <c r="F189" s="1" t="n">
        <v>0.7016</v>
      </c>
    </row>
    <row r="190" customFormat="false" ht="15" hidden="false" customHeight="false" outlineLevel="0" collapsed="false">
      <c r="A190" s="1" t="s">
        <v>96</v>
      </c>
      <c r="B190" s="1" t="s">
        <v>102</v>
      </c>
      <c r="C190" s="1" t="n">
        <v>7885</v>
      </c>
      <c r="D190" s="1" t="n">
        <v>145.73</v>
      </c>
      <c r="E190" s="1" t="n">
        <v>1149145</v>
      </c>
      <c r="F190" s="1" t="n">
        <v>0.6871</v>
      </c>
    </row>
    <row r="191" customFormat="false" ht="15" hidden="false" customHeight="false" outlineLevel="0" collapsed="false">
      <c r="A191" s="1" t="s">
        <v>97</v>
      </c>
      <c r="B191" s="1" t="s">
        <v>102</v>
      </c>
      <c r="C191" s="1" t="n">
        <v>7964</v>
      </c>
      <c r="D191" s="1" t="n">
        <v>147.31</v>
      </c>
      <c r="E191" s="1" t="n">
        <v>1173249</v>
      </c>
      <c r="F191" s="1" t="n">
        <v>0.7116</v>
      </c>
    </row>
    <row r="192" customFormat="false" ht="15" hidden="false" customHeight="false" outlineLevel="0" collapsed="false">
      <c r="A192" s="1" t="s">
        <v>98</v>
      </c>
      <c r="B192" s="1" t="s">
        <v>102</v>
      </c>
      <c r="C192" s="1" t="n">
        <v>8042</v>
      </c>
      <c r="D192" s="1" t="n">
        <v>150.06</v>
      </c>
      <c r="E192" s="1" t="n">
        <v>1206819</v>
      </c>
      <c r="F192" s="1" t="n">
        <v>0.7119</v>
      </c>
    </row>
    <row r="193" customFormat="false" ht="15" hidden="false" customHeight="false" outlineLevel="0" collapsed="false">
      <c r="A193" s="1" t="s">
        <v>99</v>
      </c>
      <c r="B193" s="1" t="s">
        <v>102</v>
      </c>
      <c r="C193" s="1" t="n">
        <v>8074</v>
      </c>
      <c r="D193" s="1" t="n">
        <v>148.44</v>
      </c>
      <c r="E193" s="1" t="n">
        <v>1198505</v>
      </c>
      <c r="F193" s="1" t="n">
        <v>0.7156</v>
      </c>
    </row>
    <row r="194" customFormat="false" ht="15" hidden="false" customHeight="false" outlineLevel="0" collapsed="false">
      <c r="A194" s="1" t="s">
        <v>51</v>
      </c>
      <c r="B194" s="1" t="s">
        <v>103</v>
      </c>
      <c r="C194" s="1" t="n">
        <v>44</v>
      </c>
      <c r="D194" s="1" t="n">
        <v>20685.6</v>
      </c>
      <c r="E194" s="1" t="n">
        <v>903120</v>
      </c>
      <c r="F194" s="1" t="n">
        <v>0.7412</v>
      </c>
    </row>
    <row r="195" customFormat="false" ht="15" hidden="false" customHeight="false" outlineLevel="0" collapsed="false">
      <c r="A195" s="1" t="s">
        <v>53</v>
      </c>
      <c r="B195" s="1" t="s">
        <v>103</v>
      </c>
      <c r="C195" s="1" t="n">
        <v>44</v>
      </c>
      <c r="D195" s="1" t="n">
        <v>21235.17</v>
      </c>
      <c r="E195" s="1" t="n">
        <v>927681</v>
      </c>
      <c r="F195" s="1" t="n">
        <v>0.7398</v>
      </c>
    </row>
    <row r="196" customFormat="false" ht="15" hidden="false" customHeight="false" outlineLevel="0" collapsed="false">
      <c r="A196" s="1" t="s">
        <v>54</v>
      </c>
      <c r="B196" s="1" t="s">
        <v>103</v>
      </c>
      <c r="C196" s="1" t="n">
        <v>44</v>
      </c>
      <c r="D196" s="1" t="n">
        <v>21596.54</v>
      </c>
      <c r="E196" s="1" t="n">
        <v>945445</v>
      </c>
      <c r="F196" s="1" t="n">
        <v>0.7368</v>
      </c>
    </row>
    <row r="197" customFormat="false" ht="15" hidden="false" customHeight="false" outlineLevel="0" collapsed="false">
      <c r="A197" s="1" t="s">
        <v>55</v>
      </c>
      <c r="B197" s="1" t="s">
        <v>103</v>
      </c>
      <c r="C197" s="1" t="n">
        <v>44</v>
      </c>
      <c r="D197" s="1" t="n">
        <v>21353.13</v>
      </c>
      <c r="E197" s="1" t="n">
        <v>941102</v>
      </c>
      <c r="F197" s="1" t="n">
        <v>0.7467</v>
      </c>
    </row>
    <row r="198" customFormat="false" ht="15" hidden="false" customHeight="false" outlineLevel="0" collapsed="false">
      <c r="A198" s="1" t="s">
        <v>56</v>
      </c>
      <c r="B198" s="1" t="s">
        <v>103</v>
      </c>
      <c r="C198" s="1" t="n">
        <v>44</v>
      </c>
      <c r="D198" s="1" t="n">
        <v>21477.62</v>
      </c>
      <c r="E198" s="1" t="n">
        <v>947081</v>
      </c>
      <c r="F198" s="1" t="n">
        <v>0.7401</v>
      </c>
    </row>
    <row r="199" customFormat="false" ht="15" hidden="false" customHeight="false" outlineLevel="0" collapsed="false">
      <c r="A199" s="1" t="s">
        <v>57</v>
      </c>
      <c r="B199" s="1" t="s">
        <v>103</v>
      </c>
      <c r="C199" s="1" t="n">
        <v>44</v>
      </c>
      <c r="D199" s="1" t="n">
        <v>21060.35</v>
      </c>
      <c r="E199" s="1" t="n">
        <v>935800</v>
      </c>
      <c r="F199" s="1" t="n">
        <v>0.7299</v>
      </c>
    </row>
    <row r="200" customFormat="false" ht="15" hidden="false" customHeight="false" outlineLevel="0" collapsed="false">
      <c r="A200" s="1" t="s">
        <v>58</v>
      </c>
      <c r="B200" s="1" t="s">
        <v>103</v>
      </c>
      <c r="C200" s="1" t="n">
        <v>46</v>
      </c>
      <c r="D200" s="1" t="n">
        <v>21122.15</v>
      </c>
      <c r="E200" s="1" t="n">
        <v>961738</v>
      </c>
      <c r="F200" s="1" t="n">
        <v>0.7487</v>
      </c>
    </row>
    <row r="201" customFormat="false" ht="15" hidden="false" customHeight="false" outlineLevel="0" collapsed="false">
      <c r="A201" s="1" t="s">
        <v>59</v>
      </c>
      <c r="B201" s="1" t="s">
        <v>103</v>
      </c>
      <c r="C201" s="1" t="n">
        <v>46</v>
      </c>
      <c r="D201" s="1" t="n">
        <v>21180.86</v>
      </c>
      <c r="E201" s="1" t="n">
        <v>983356</v>
      </c>
      <c r="F201" s="1" t="n">
        <v>0.7642</v>
      </c>
    </row>
    <row r="202" customFormat="false" ht="15" hidden="false" customHeight="false" outlineLevel="0" collapsed="false">
      <c r="A202" s="1" t="s">
        <v>60</v>
      </c>
      <c r="B202" s="1" t="s">
        <v>103</v>
      </c>
      <c r="C202" s="1" t="n">
        <v>47</v>
      </c>
      <c r="D202" s="1" t="n">
        <v>21048.6</v>
      </c>
      <c r="E202" s="1" t="n">
        <v>979981</v>
      </c>
      <c r="F202" s="1" t="n">
        <v>0.7306</v>
      </c>
    </row>
    <row r="203" customFormat="false" ht="15" hidden="false" customHeight="false" outlineLevel="0" collapsed="false">
      <c r="A203" s="1" t="s">
        <v>61</v>
      </c>
      <c r="B203" s="1" t="s">
        <v>103</v>
      </c>
      <c r="C203" s="1" t="n">
        <v>46</v>
      </c>
      <c r="D203" s="1" t="n">
        <v>21303.76</v>
      </c>
      <c r="E203" s="1" t="n">
        <v>987810</v>
      </c>
      <c r="F203" s="1" t="n">
        <v>0.7355</v>
      </c>
    </row>
    <row r="204" customFormat="false" ht="15" hidden="false" customHeight="false" outlineLevel="0" collapsed="false">
      <c r="A204" s="1" t="s">
        <v>62</v>
      </c>
      <c r="B204" s="1" t="s">
        <v>103</v>
      </c>
      <c r="C204" s="1" t="n">
        <v>47</v>
      </c>
      <c r="D204" s="1" t="n">
        <v>21089.56</v>
      </c>
      <c r="E204" s="1" t="n">
        <v>989545</v>
      </c>
      <c r="F204" s="1" t="n">
        <v>0.7538</v>
      </c>
    </row>
    <row r="205" customFormat="false" ht="15" hidden="false" customHeight="false" outlineLevel="0" collapsed="false">
      <c r="A205" s="1" t="s">
        <v>63</v>
      </c>
      <c r="B205" s="1" t="s">
        <v>103</v>
      </c>
      <c r="C205" s="1" t="n">
        <v>47</v>
      </c>
      <c r="D205" s="1" t="n">
        <v>21476.79</v>
      </c>
      <c r="E205" s="1" t="n">
        <v>1000827</v>
      </c>
      <c r="F205" s="1" t="n">
        <v>0.7363</v>
      </c>
    </row>
    <row r="206" customFormat="false" ht="15" hidden="false" customHeight="false" outlineLevel="0" collapsed="false">
      <c r="A206" s="1" t="s">
        <v>64</v>
      </c>
      <c r="B206" s="1" t="s">
        <v>103</v>
      </c>
      <c r="C206" s="1" t="n">
        <v>47</v>
      </c>
      <c r="D206" s="1" t="n">
        <v>21499.42</v>
      </c>
      <c r="E206" s="1" t="n">
        <v>1014851</v>
      </c>
      <c r="F206" s="1" t="n">
        <v>0.7471</v>
      </c>
    </row>
    <row r="207" customFormat="false" ht="15" hidden="false" customHeight="false" outlineLevel="0" collapsed="false">
      <c r="A207" s="1" t="s">
        <v>65</v>
      </c>
      <c r="B207" s="1" t="s">
        <v>103</v>
      </c>
      <c r="C207" s="1" t="n">
        <v>48</v>
      </c>
      <c r="D207" s="1" t="n">
        <v>21637.82</v>
      </c>
      <c r="E207" s="1" t="n">
        <v>1036086</v>
      </c>
      <c r="F207" s="1" t="n">
        <v>0.7354</v>
      </c>
    </row>
    <row r="208" customFormat="false" ht="15" hidden="false" customHeight="false" outlineLevel="0" collapsed="false">
      <c r="A208" s="1" t="s">
        <v>66</v>
      </c>
      <c r="B208" s="1" t="s">
        <v>103</v>
      </c>
      <c r="C208" s="1" t="n">
        <v>48</v>
      </c>
      <c r="D208" s="1" t="n">
        <v>21598.81</v>
      </c>
      <c r="E208" s="1" t="n">
        <v>1035994</v>
      </c>
      <c r="F208" s="1" t="n">
        <v>0.7454</v>
      </c>
    </row>
    <row r="209" customFormat="false" ht="15" hidden="false" customHeight="false" outlineLevel="0" collapsed="false">
      <c r="A209" s="1" t="s">
        <v>67</v>
      </c>
      <c r="B209" s="1" t="s">
        <v>103</v>
      </c>
      <c r="C209" s="1" t="n">
        <v>48</v>
      </c>
      <c r="D209" s="1" t="n">
        <v>21780.54</v>
      </c>
      <c r="E209" s="1" t="n">
        <v>1043661</v>
      </c>
      <c r="F209" s="1" t="n">
        <v>0.7554</v>
      </c>
    </row>
    <row r="210" customFormat="false" ht="15" hidden="false" customHeight="false" outlineLevel="0" collapsed="false">
      <c r="A210" s="1" t="s">
        <v>68</v>
      </c>
      <c r="B210" s="1" t="s">
        <v>103</v>
      </c>
      <c r="C210" s="1" t="n">
        <v>49</v>
      </c>
      <c r="D210" s="1" t="n">
        <v>21389.42</v>
      </c>
      <c r="E210" s="1" t="n">
        <v>1042609</v>
      </c>
      <c r="F210" s="1" t="n">
        <v>0.7419</v>
      </c>
    </row>
    <row r="211" customFormat="false" ht="15" hidden="false" customHeight="false" outlineLevel="0" collapsed="false">
      <c r="A211" s="1" t="s">
        <v>69</v>
      </c>
      <c r="B211" s="1" t="s">
        <v>103</v>
      </c>
      <c r="C211" s="1" t="n">
        <v>49</v>
      </c>
      <c r="D211" s="1" t="n">
        <v>20962.76</v>
      </c>
      <c r="E211" s="1" t="n">
        <v>1020023</v>
      </c>
      <c r="F211" s="1" t="n">
        <v>0.7485</v>
      </c>
    </row>
    <row r="212" customFormat="false" ht="15" hidden="false" customHeight="false" outlineLevel="0" collapsed="false">
      <c r="A212" s="1" t="s">
        <v>70</v>
      </c>
      <c r="B212" s="1" t="s">
        <v>103</v>
      </c>
      <c r="C212" s="1" t="n">
        <v>50</v>
      </c>
      <c r="D212" s="1" t="n">
        <v>20554.35</v>
      </c>
      <c r="E212" s="1" t="n">
        <v>1028559</v>
      </c>
      <c r="F212" s="1" t="n">
        <v>0.731</v>
      </c>
    </row>
    <row r="213" customFormat="false" ht="15" hidden="false" customHeight="false" outlineLevel="0" collapsed="false">
      <c r="A213" s="1" t="s">
        <v>71</v>
      </c>
      <c r="B213" s="1" t="s">
        <v>103</v>
      </c>
      <c r="C213" s="1" t="n">
        <v>50</v>
      </c>
      <c r="D213" s="1" t="n">
        <v>20113.25</v>
      </c>
      <c r="E213" s="1" t="n">
        <v>999838</v>
      </c>
      <c r="F213" s="1" t="n">
        <v>0.7441</v>
      </c>
    </row>
    <row r="214" customFormat="false" ht="15" hidden="false" customHeight="false" outlineLevel="0" collapsed="false">
      <c r="A214" s="1" t="s">
        <v>72</v>
      </c>
      <c r="B214" s="1" t="s">
        <v>103</v>
      </c>
      <c r="C214" s="1" t="n">
        <v>50</v>
      </c>
      <c r="D214" s="1" t="n">
        <v>20674.18</v>
      </c>
      <c r="E214" s="1" t="n">
        <v>1041453</v>
      </c>
      <c r="F214" s="1" t="n">
        <v>0.7148</v>
      </c>
    </row>
    <row r="215" customFormat="false" ht="15" hidden="false" customHeight="false" outlineLevel="0" collapsed="false">
      <c r="A215" s="1" t="s">
        <v>73</v>
      </c>
      <c r="B215" s="1" t="s">
        <v>103</v>
      </c>
      <c r="C215" s="1" t="n">
        <v>51</v>
      </c>
      <c r="D215" s="1" t="n">
        <v>21394.6</v>
      </c>
      <c r="E215" s="1" t="n">
        <v>1089342</v>
      </c>
      <c r="F215" s="1" t="n">
        <v>0.7212</v>
      </c>
    </row>
    <row r="216" customFormat="false" ht="15" hidden="false" customHeight="false" outlineLevel="0" collapsed="false">
      <c r="A216" s="1" t="s">
        <v>74</v>
      </c>
      <c r="B216" s="1" t="s">
        <v>103</v>
      </c>
      <c r="C216" s="1" t="n">
        <v>51</v>
      </c>
      <c r="D216" s="1" t="n">
        <v>21628.13</v>
      </c>
      <c r="E216" s="1" t="n">
        <v>1113342</v>
      </c>
      <c r="F216" s="1" t="n">
        <v>0.7159</v>
      </c>
    </row>
    <row r="217" customFormat="false" ht="15" hidden="false" customHeight="false" outlineLevel="0" collapsed="false">
      <c r="A217" s="1" t="s">
        <v>75</v>
      </c>
      <c r="B217" s="1" t="s">
        <v>103</v>
      </c>
      <c r="C217" s="1" t="n">
        <v>51</v>
      </c>
      <c r="D217" s="1" t="n">
        <v>21750.88</v>
      </c>
      <c r="E217" s="1" t="n">
        <v>1110439</v>
      </c>
      <c r="F217" s="1" t="n">
        <v>0.7491</v>
      </c>
    </row>
    <row r="218" customFormat="false" ht="15" hidden="false" customHeight="false" outlineLevel="0" collapsed="false">
      <c r="A218" s="1" t="s">
        <v>76</v>
      </c>
      <c r="B218" s="1" t="s">
        <v>103</v>
      </c>
      <c r="C218" s="1" t="n">
        <v>52</v>
      </c>
      <c r="D218" s="1" t="n">
        <v>21730.58</v>
      </c>
      <c r="E218" s="1" t="n">
        <v>1124184</v>
      </c>
      <c r="F218" s="1" t="n">
        <v>0.7508</v>
      </c>
    </row>
    <row r="219" customFormat="false" ht="15" hidden="false" customHeight="false" outlineLevel="0" collapsed="false">
      <c r="A219" s="1" t="s">
        <v>77</v>
      </c>
      <c r="B219" s="1" t="s">
        <v>103</v>
      </c>
      <c r="C219" s="1" t="n">
        <v>52</v>
      </c>
      <c r="D219" s="1" t="n">
        <v>21604.46</v>
      </c>
      <c r="E219" s="1" t="n">
        <v>1134192</v>
      </c>
      <c r="F219" s="1" t="n">
        <v>0.7544</v>
      </c>
    </row>
    <row r="220" customFormat="false" ht="15" hidden="false" customHeight="false" outlineLevel="0" collapsed="false">
      <c r="A220" s="1" t="s">
        <v>78</v>
      </c>
      <c r="B220" s="1" t="s">
        <v>103</v>
      </c>
      <c r="C220" s="1" t="n">
        <v>53</v>
      </c>
      <c r="D220" s="1" t="n">
        <v>21325.02</v>
      </c>
      <c r="E220" s="1" t="n">
        <v>1137010</v>
      </c>
      <c r="F220" s="1" t="n">
        <v>0.7374</v>
      </c>
    </row>
    <row r="221" customFormat="false" ht="15" hidden="false" customHeight="false" outlineLevel="0" collapsed="false">
      <c r="A221" s="1" t="s">
        <v>79</v>
      </c>
      <c r="B221" s="1" t="s">
        <v>103</v>
      </c>
      <c r="C221" s="1" t="n">
        <v>53</v>
      </c>
      <c r="D221" s="1" t="n">
        <v>20915.64</v>
      </c>
      <c r="E221" s="1" t="n">
        <v>1111842</v>
      </c>
      <c r="F221" s="1" t="n">
        <v>0.7436</v>
      </c>
    </row>
    <row r="222" customFormat="false" ht="15" hidden="false" customHeight="false" outlineLevel="0" collapsed="false">
      <c r="A222" s="1" t="s">
        <v>80</v>
      </c>
      <c r="B222" s="1" t="s">
        <v>103</v>
      </c>
      <c r="C222" s="1" t="n">
        <v>54</v>
      </c>
      <c r="D222" s="1" t="n">
        <v>20812.14</v>
      </c>
      <c r="E222" s="1" t="n">
        <v>1114418</v>
      </c>
      <c r="F222" s="1" t="n">
        <v>0.7559</v>
      </c>
    </row>
    <row r="223" customFormat="false" ht="15" hidden="false" customHeight="false" outlineLevel="0" collapsed="false">
      <c r="A223" s="1" t="s">
        <v>81</v>
      </c>
      <c r="B223" s="1" t="s">
        <v>103</v>
      </c>
      <c r="C223" s="1" t="n">
        <v>53</v>
      </c>
      <c r="D223" s="1" t="n">
        <v>20809.92</v>
      </c>
      <c r="E223" s="1" t="n">
        <v>1100381</v>
      </c>
      <c r="F223" s="1" t="n">
        <v>0.739</v>
      </c>
    </row>
    <row r="224" customFormat="false" ht="15" hidden="false" customHeight="false" outlineLevel="0" collapsed="false">
      <c r="A224" s="1" t="s">
        <v>82</v>
      </c>
      <c r="B224" s="1" t="s">
        <v>103</v>
      </c>
      <c r="C224" s="1" t="n">
        <v>53</v>
      </c>
      <c r="D224" s="1" t="n">
        <v>21246.2</v>
      </c>
      <c r="E224" s="1" t="n">
        <v>1123839</v>
      </c>
      <c r="F224" s="1" t="n">
        <v>0.7415</v>
      </c>
    </row>
    <row r="225" customFormat="false" ht="15" hidden="false" customHeight="false" outlineLevel="0" collapsed="false">
      <c r="A225" s="1" t="s">
        <v>83</v>
      </c>
      <c r="B225" s="1" t="s">
        <v>103</v>
      </c>
      <c r="C225" s="1" t="n">
        <v>53</v>
      </c>
      <c r="D225" s="1" t="n">
        <v>21341.96</v>
      </c>
      <c r="E225" s="1" t="n">
        <v>1122342</v>
      </c>
      <c r="F225" s="1" t="n">
        <v>0.7255</v>
      </c>
    </row>
    <row r="226" customFormat="false" ht="15" hidden="false" customHeight="false" outlineLevel="0" collapsed="false">
      <c r="A226" s="1" t="s">
        <v>84</v>
      </c>
      <c r="B226" s="1" t="s">
        <v>103</v>
      </c>
      <c r="C226" s="1" t="n">
        <v>52</v>
      </c>
      <c r="D226" s="1" t="n">
        <v>21151.29</v>
      </c>
      <c r="E226" s="1" t="n">
        <v>1106499</v>
      </c>
      <c r="F226" s="1" t="n">
        <v>0.7177</v>
      </c>
    </row>
    <row r="227" customFormat="false" ht="15" hidden="false" customHeight="false" outlineLevel="0" collapsed="false">
      <c r="A227" s="1" t="s">
        <v>85</v>
      </c>
      <c r="B227" s="1" t="s">
        <v>103</v>
      </c>
      <c r="C227" s="1" t="n">
        <v>53</v>
      </c>
      <c r="D227" s="1" t="n">
        <v>21245.19</v>
      </c>
      <c r="E227" s="1" t="n">
        <v>1126524</v>
      </c>
      <c r="F227" s="1" t="n">
        <v>0.7303</v>
      </c>
    </row>
    <row r="228" customFormat="false" ht="15" hidden="false" customHeight="false" outlineLevel="0" collapsed="false">
      <c r="A228" s="1" t="s">
        <v>86</v>
      </c>
      <c r="B228" s="1" t="s">
        <v>103</v>
      </c>
      <c r="C228" s="1" t="n">
        <v>53</v>
      </c>
      <c r="D228" s="1" t="n">
        <v>20950.48</v>
      </c>
      <c r="E228" s="1" t="n">
        <v>1115092</v>
      </c>
      <c r="F228" s="1" t="n">
        <v>0.74</v>
      </c>
    </row>
    <row r="229" customFormat="false" ht="15" hidden="false" customHeight="false" outlineLevel="0" collapsed="false">
      <c r="A229" s="1" t="s">
        <v>87</v>
      </c>
      <c r="B229" s="1" t="s">
        <v>103</v>
      </c>
      <c r="C229" s="1" t="n">
        <v>54</v>
      </c>
      <c r="D229" s="1" t="n">
        <v>21311.25</v>
      </c>
      <c r="E229" s="1" t="n">
        <v>1144440</v>
      </c>
      <c r="F229" s="1" t="n">
        <v>0.7417</v>
      </c>
    </row>
    <row r="230" customFormat="false" ht="15" hidden="false" customHeight="false" outlineLevel="0" collapsed="false">
      <c r="A230" s="1" t="s">
        <v>88</v>
      </c>
      <c r="B230" s="1" t="s">
        <v>103</v>
      </c>
      <c r="C230" s="1" t="n">
        <v>54</v>
      </c>
      <c r="D230" s="1" t="n">
        <v>21431.08</v>
      </c>
      <c r="E230" s="1" t="n">
        <v>1147560</v>
      </c>
      <c r="F230" s="1" t="n">
        <v>0.7394</v>
      </c>
    </row>
    <row r="231" customFormat="false" ht="15" hidden="false" customHeight="false" outlineLevel="0" collapsed="false">
      <c r="A231" s="1" t="s">
        <v>89</v>
      </c>
      <c r="B231" s="1" t="s">
        <v>103</v>
      </c>
      <c r="C231" s="1" t="n">
        <v>54</v>
      </c>
      <c r="D231" s="1" t="n">
        <v>21734.69</v>
      </c>
      <c r="E231" s="1" t="n">
        <v>1164327</v>
      </c>
      <c r="F231" s="1" t="n">
        <v>0.7393</v>
      </c>
    </row>
    <row r="232" customFormat="false" ht="15" hidden="false" customHeight="false" outlineLevel="0" collapsed="false">
      <c r="A232" s="1" t="s">
        <v>90</v>
      </c>
      <c r="B232" s="1" t="s">
        <v>103</v>
      </c>
      <c r="C232" s="1" t="n">
        <v>54</v>
      </c>
      <c r="D232" s="1" t="n">
        <v>22407.68</v>
      </c>
      <c r="E232" s="1" t="n">
        <v>1214692</v>
      </c>
      <c r="F232" s="1" t="n">
        <v>0.7273</v>
      </c>
    </row>
    <row r="233" customFormat="false" ht="15" hidden="false" customHeight="false" outlineLevel="0" collapsed="false">
      <c r="A233" s="1" t="s">
        <v>91</v>
      </c>
      <c r="B233" s="1" t="s">
        <v>103</v>
      </c>
      <c r="C233" s="1" t="n">
        <v>55</v>
      </c>
      <c r="D233" s="1" t="n">
        <v>22245</v>
      </c>
      <c r="E233" s="1" t="n">
        <v>1220788</v>
      </c>
      <c r="F233" s="1" t="n">
        <v>0.7442</v>
      </c>
    </row>
    <row r="234" customFormat="false" ht="15" hidden="false" customHeight="false" outlineLevel="0" collapsed="false">
      <c r="A234" s="1" t="s">
        <v>92</v>
      </c>
      <c r="B234" s="1" t="s">
        <v>103</v>
      </c>
      <c r="C234" s="1" t="n">
        <v>56</v>
      </c>
      <c r="D234" s="1" t="n">
        <v>21715.1</v>
      </c>
      <c r="E234" s="1" t="n">
        <v>1218176</v>
      </c>
      <c r="F234" s="1" t="n">
        <v>0.7527</v>
      </c>
    </row>
    <row r="235" customFormat="false" ht="15" hidden="false" customHeight="false" outlineLevel="0" collapsed="false">
      <c r="A235" s="1" t="s">
        <v>93</v>
      </c>
      <c r="B235" s="1" t="s">
        <v>103</v>
      </c>
      <c r="C235" s="1" t="n">
        <v>56</v>
      </c>
      <c r="D235" s="1" t="n">
        <v>21603.02</v>
      </c>
      <c r="E235" s="1" t="n">
        <v>1210646</v>
      </c>
      <c r="F235" s="1" t="n">
        <v>0.7463</v>
      </c>
    </row>
    <row r="236" customFormat="false" ht="15" hidden="false" customHeight="false" outlineLevel="0" collapsed="false">
      <c r="A236" s="1" t="s">
        <v>94</v>
      </c>
      <c r="B236" s="1" t="s">
        <v>103</v>
      </c>
      <c r="C236" s="1" t="n">
        <v>56</v>
      </c>
      <c r="D236" s="1" t="n">
        <v>22181.73</v>
      </c>
      <c r="E236" s="1" t="n">
        <v>1237382</v>
      </c>
      <c r="F236" s="1" t="n">
        <v>0.7492</v>
      </c>
    </row>
    <row r="237" customFormat="false" ht="15" hidden="false" customHeight="false" outlineLevel="0" collapsed="false">
      <c r="A237" s="1" t="s">
        <v>95</v>
      </c>
      <c r="B237" s="1" t="s">
        <v>103</v>
      </c>
      <c r="C237" s="1" t="n">
        <v>57</v>
      </c>
      <c r="D237" s="1" t="n">
        <v>22180.63</v>
      </c>
      <c r="E237" s="1" t="n">
        <v>1258162</v>
      </c>
      <c r="F237" s="1" t="n">
        <v>0.7533</v>
      </c>
    </row>
    <row r="238" customFormat="false" ht="15" hidden="false" customHeight="false" outlineLevel="0" collapsed="false">
      <c r="A238" s="1" t="s">
        <v>96</v>
      </c>
      <c r="B238" s="1" t="s">
        <v>103</v>
      </c>
      <c r="C238" s="1" t="n">
        <v>57</v>
      </c>
      <c r="D238" s="1" t="n">
        <v>21668.36</v>
      </c>
      <c r="E238" s="1" t="n">
        <v>1230540</v>
      </c>
      <c r="F238" s="1" t="n">
        <v>0.7129</v>
      </c>
    </row>
    <row r="239" customFormat="false" ht="15" hidden="false" customHeight="false" outlineLevel="0" collapsed="false">
      <c r="A239" s="1" t="s">
        <v>97</v>
      </c>
      <c r="B239" s="1" t="s">
        <v>103</v>
      </c>
      <c r="C239" s="1" t="n">
        <v>58</v>
      </c>
      <c r="D239" s="1" t="n">
        <v>20996.65</v>
      </c>
      <c r="E239" s="1" t="n">
        <v>1211253</v>
      </c>
      <c r="F239" s="1" t="n">
        <v>0.7385</v>
      </c>
    </row>
    <row r="240" customFormat="false" ht="15" hidden="false" customHeight="false" outlineLevel="0" collapsed="false">
      <c r="A240" s="1" t="s">
        <v>98</v>
      </c>
      <c r="B240" s="1" t="s">
        <v>103</v>
      </c>
      <c r="C240" s="1" t="n">
        <v>58</v>
      </c>
      <c r="D240" s="1" t="n">
        <v>21052.28</v>
      </c>
      <c r="E240" s="1" t="n">
        <v>1228684</v>
      </c>
      <c r="F240" s="1" t="n">
        <v>0.7269</v>
      </c>
    </row>
    <row r="241" customFormat="false" ht="15" hidden="false" customHeight="false" outlineLevel="0" collapsed="false">
      <c r="A241" s="1" t="s">
        <v>99</v>
      </c>
      <c r="B241" s="1" t="s">
        <v>103</v>
      </c>
      <c r="C241" s="1" t="n">
        <v>59</v>
      </c>
      <c r="D241" s="1" t="n">
        <v>20992.91</v>
      </c>
      <c r="E241" s="1" t="n">
        <v>1241722</v>
      </c>
      <c r="F241" s="1" t="n">
        <v>0.7413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T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25"/>
    <col collapsed="false" customWidth="true" hidden="false" outlineLevel="0" max="6" min="6" style="1" width="32"/>
    <col collapsed="false" customWidth="true" hidden="false" outlineLevel="0" max="7" min="7" style="1" width="26"/>
    <col collapsed="false" customWidth="true" hidden="false" outlineLevel="0" max="8" min="8" style="1" width="33"/>
    <col collapsed="false" customWidth="true" hidden="false" outlineLevel="0" max="9" min="9" style="1" width="27"/>
    <col collapsed="false" customWidth="true" hidden="false" outlineLevel="0" max="10" min="10" style="1" width="21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8"/>
    <col collapsed="false" customWidth="true" hidden="false" outlineLevel="0" max="14" min="14" style="1" width="29"/>
    <col collapsed="false" customWidth="true" hidden="false" outlineLevel="0" max="15" min="15" style="1" width="11"/>
    <col collapsed="false" customWidth="true" hidden="false" outlineLevel="0" max="16" min="16" style="1" width="20"/>
    <col collapsed="false" customWidth="true" hidden="false" outlineLevel="0" max="17" min="17" style="1" width="17"/>
    <col collapsed="false" customWidth="true" hidden="false" outlineLevel="0" max="18" min="18" style="1" width="15"/>
    <col collapsed="false" customWidth="true" hidden="false" outlineLevel="0" max="20" min="19" style="1" width="14"/>
  </cols>
  <sheetData>
    <row r="1" customFormat="false" ht="28.35" hidden="false" customHeight="false" outlineLevel="0" collapsed="false">
      <c r="A1" s="13" t="s">
        <v>45</v>
      </c>
      <c r="B1" s="13" t="s">
        <v>49</v>
      </c>
      <c r="C1" s="13" t="s">
        <v>104</v>
      </c>
      <c r="D1" s="13" t="s">
        <v>105</v>
      </c>
      <c r="E1" s="13" t="s">
        <v>106</v>
      </c>
      <c r="F1" s="13" t="s">
        <v>107</v>
      </c>
      <c r="G1" s="13" t="s">
        <v>108</v>
      </c>
      <c r="H1" s="13" t="s">
        <v>109</v>
      </c>
      <c r="I1" s="13" t="s">
        <v>110</v>
      </c>
      <c r="J1" s="13" t="s">
        <v>111</v>
      </c>
      <c r="K1" s="13" t="s">
        <v>112</v>
      </c>
      <c r="L1" s="13" t="s">
        <v>113</v>
      </c>
      <c r="M1" s="13" t="s">
        <v>114</v>
      </c>
      <c r="N1" s="13" t="s">
        <v>115</v>
      </c>
      <c r="O1" s="13" t="s">
        <v>116</v>
      </c>
      <c r="P1" s="13" t="s">
        <v>117</v>
      </c>
      <c r="Q1" s="13" t="s">
        <v>118</v>
      </c>
      <c r="R1" s="13" t="s">
        <v>119</v>
      </c>
      <c r="S1" s="13" t="s">
        <v>120</v>
      </c>
      <c r="T1" s="13" t="s">
        <v>121</v>
      </c>
    </row>
    <row r="2" customFormat="false" ht="15" hidden="false" customHeight="false" outlineLevel="0" collapsed="false">
      <c r="A2" s="1" t="s">
        <v>51</v>
      </c>
      <c r="B2" s="1" t="n">
        <v>15919148</v>
      </c>
      <c r="C2" s="1" t="n">
        <v>5794992</v>
      </c>
      <c r="D2" s="1" t="n">
        <v>10124156</v>
      </c>
      <c r="E2" s="1" t="n">
        <v>1147053</v>
      </c>
      <c r="F2" s="1" t="n">
        <v>715408</v>
      </c>
      <c r="G2" s="1" t="n">
        <v>877646</v>
      </c>
      <c r="H2" s="1" t="n">
        <v>482443</v>
      </c>
      <c r="I2" s="1" t="n">
        <v>763931</v>
      </c>
      <c r="J2" s="1" t="n">
        <v>273824</v>
      </c>
      <c r="K2" s="1" t="n">
        <v>4260305</v>
      </c>
      <c r="L2" s="1" t="n">
        <v>5863851</v>
      </c>
      <c r="M2" s="1" t="n">
        <v>0.3684</v>
      </c>
      <c r="N2" s="1" t="n">
        <v>1494015</v>
      </c>
      <c r="O2" s="1" t="n">
        <v>4369836</v>
      </c>
      <c r="P2" s="1" t="n">
        <v>841208</v>
      </c>
      <c r="Q2" s="1" t="n">
        <v>3528628</v>
      </c>
      <c r="R2" s="1" t="n">
        <v>846871</v>
      </c>
      <c r="S2" s="1" t="n">
        <v>2681757</v>
      </c>
      <c r="T2" s="1" t="n">
        <v>0.1685</v>
      </c>
    </row>
    <row r="3" customFormat="false" ht="15" hidden="false" customHeight="false" outlineLevel="0" collapsed="false">
      <c r="A3" s="1" t="s">
        <v>53</v>
      </c>
      <c r="B3" s="1" t="n">
        <v>16072095</v>
      </c>
      <c r="C3" s="1" t="n">
        <v>5849120</v>
      </c>
      <c r="D3" s="1" t="n">
        <v>10222975</v>
      </c>
      <c r="E3" s="1" t="n">
        <v>1157993</v>
      </c>
      <c r="F3" s="1" t="n">
        <v>663843</v>
      </c>
      <c r="G3" s="1" t="n">
        <v>896687</v>
      </c>
      <c r="H3" s="1" t="n">
        <v>483458</v>
      </c>
      <c r="I3" s="1" t="n">
        <v>757888</v>
      </c>
      <c r="J3" s="1" t="n">
        <v>275083</v>
      </c>
      <c r="K3" s="1" t="n">
        <v>4234953</v>
      </c>
      <c r="L3" s="1" t="n">
        <v>5988022</v>
      </c>
      <c r="M3" s="1" t="n">
        <v>0.3726</v>
      </c>
      <c r="N3" s="1" t="n">
        <v>1377470</v>
      </c>
      <c r="O3" s="1" t="n">
        <v>4610552</v>
      </c>
      <c r="P3" s="1" t="n">
        <v>836977</v>
      </c>
      <c r="Q3" s="1" t="n">
        <v>3773575</v>
      </c>
      <c r="R3" s="1" t="n">
        <v>905658</v>
      </c>
      <c r="S3" s="1" t="n">
        <v>2867917</v>
      </c>
      <c r="T3" s="1" t="n">
        <v>0.1784</v>
      </c>
    </row>
    <row r="4" customFormat="false" ht="15" hidden="false" customHeight="false" outlineLevel="0" collapsed="false">
      <c r="A4" s="1" t="s">
        <v>54</v>
      </c>
      <c r="B4" s="1" t="n">
        <v>16269521</v>
      </c>
      <c r="C4" s="1" t="n">
        <v>5866351</v>
      </c>
      <c r="D4" s="1" t="n">
        <v>10403170</v>
      </c>
      <c r="E4" s="1" t="n">
        <v>1182634</v>
      </c>
      <c r="F4" s="1" t="n">
        <v>683195</v>
      </c>
      <c r="G4" s="1" t="n">
        <v>826432</v>
      </c>
      <c r="H4" s="1" t="n">
        <v>466387</v>
      </c>
      <c r="I4" s="1" t="n">
        <v>789671</v>
      </c>
      <c r="J4" s="1" t="n">
        <v>285412</v>
      </c>
      <c r="K4" s="1" t="n">
        <v>4233732</v>
      </c>
      <c r="L4" s="1" t="n">
        <v>6169438</v>
      </c>
      <c r="M4" s="1" t="n">
        <v>0.3792</v>
      </c>
      <c r="N4" s="1" t="n">
        <v>1423913</v>
      </c>
      <c r="O4" s="1" t="n">
        <v>4745525</v>
      </c>
      <c r="P4" s="1" t="n">
        <v>832745</v>
      </c>
      <c r="Q4" s="1" t="n">
        <v>3912781</v>
      </c>
      <c r="R4" s="1" t="n">
        <v>939067</v>
      </c>
      <c r="S4" s="1" t="n">
        <v>2973713</v>
      </c>
      <c r="T4" s="1" t="n">
        <v>0.1828</v>
      </c>
    </row>
    <row r="5" customFormat="false" ht="15" hidden="false" customHeight="false" outlineLevel="0" collapsed="false">
      <c r="A5" s="1" t="s">
        <v>55</v>
      </c>
      <c r="B5" s="1" t="n">
        <v>16380865</v>
      </c>
      <c r="C5" s="1" t="n">
        <v>6102853</v>
      </c>
      <c r="D5" s="1" t="n">
        <v>10278012</v>
      </c>
      <c r="E5" s="1" t="n">
        <v>1155409</v>
      </c>
      <c r="F5" s="1" t="n">
        <v>705155</v>
      </c>
      <c r="G5" s="1" t="n">
        <v>721096</v>
      </c>
      <c r="H5" s="1" t="n">
        <v>494740</v>
      </c>
      <c r="I5" s="1" t="n">
        <v>771490</v>
      </c>
      <c r="J5" s="1" t="n">
        <v>283177</v>
      </c>
      <c r="K5" s="1" t="n">
        <v>4131066</v>
      </c>
      <c r="L5" s="1" t="n">
        <v>6146945</v>
      </c>
      <c r="M5" s="1" t="n">
        <v>0.3753</v>
      </c>
      <c r="N5" s="1" t="n">
        <v>1396700</v>
      </c>
      <c r="O5" s="1" t="n">
        <v>4750245</v>
      </c>
      <c r="P5" s="1" t="n">
        <v>828513</v>
      </c>
      <c r="Q5" s="1" t="n">
        <v>3921732</v>
      </c>
      <c r="R5" s="1" t="n">
        <v>941216</v>
      </c>
      <c r="S5" s="1" t="n">
        <v>2980516</v>
      </c>
      <c r="T5" s="1" t="n">
        <v>0.182</v>
      </c>
    </row>
    <row r="6" customFormat="false" ht="15" hidden="false" customHeight="false" outlineLevel="0" collapsed="false">
      <c r="A6" s="1" t="s">
        <v>56</v>
      </c>
      <c r="B6" s="1" t="n">
        <v>16287318</v>
      </c>
      <c r="C6" s="1" t="n">
        <v>5825973</v>
      </c>
      <c r="D6" s="1" t="n">
        <v>10461345</v>
      </c>
      <c r="E6" s="1" t="n">
        <v>1139468</v>
      </c>
      <c r="F6" s="1" t="n">
        <v>658182</v>
      </c>
      <c r="G6" s="1" t="n">
        <v>812483</v>
      </c>
      <c r="H6" s="1" t="n">
        <v>479889</v>
      </c>
      <c r="I6" s="1" t="n">
        <v>763098</v>
      </c>
      <c r="J6" s="1" t="n">
        <v>279552</v>
      </c>
      <c r="K6" s="1" t="n">
        <v>4132673</v>
      </c>
      <c r="L6" s="1" t="n">
        <v>6328672</v>
      </c>
      <c r="M6" s="1" t="n">
        <v>0.3886</v>
      </c>
      <c r="N6" s="1" t="n">
        <v>1438050</v>
      </c>
      <c r="O6" s="1" t="n">
        <v>4890622</v>
      </c>
      <c r="P6" s="1" t="n">
        <v>824281</v>
      </c>
      <c r="Q6" s="1" t="n">
        <v>4066341</v>
      </c>
      <c r="R6" s="1" t="n">
        <v>975922</v>
      </c>
      <c r="S6" s="1" t="n">
        <v>3090419</v>
      </c>
      <c r="T6" s="1" t="n">
        <v>0.1897</v>
      </c>
    </row>
    <row r="7" customFormat="false" ht="15" hidden="false" customHeight="false" outlineLevel="0" collapsed="false">
      <c r="A7" s="1" t="s">
        <v>57</v>
      </c>
      <c r="B7" s="1" t="n">
        <v>16258804</v>
      </c>
      <c r="C7" s="1" t="n">
        <v>5858253</v>
      </c>
      <c r="D7" s="1" t="n">
        <v>10400551</v>
      </c>
      <c r="E7" s="1" t="n">
        <v>1172252</v>
      </c>
      <c r="F7" s="1" t="n">
        <v>725162</v>
      </c>
      <c r="G7" s="1" t="n">
        <v>922252</v>
      </c>
      <c r="H7" s="1" t="n">
        <v>479310</v>
      </c>
      <c r="I7" s="1" t="n">
        <v>775167</v>
      </c>
      <c r="J7" s="1" t="n">
        <v>281365</v>
      </c>
      <c r="K7" s="1" t="n">
        <v>4355507</v>
      </c>
      <c r="L7" s="1" t="n">
        <v>6045044</v>
      </c>
      <c r="M7" s="1" t="n">
        <v>0.3718</v>
      </c>
      <c r="N7" s="1" t="n">
        <v>1294707</v>
      </c>
      <c r="O7" s="1" t="n">
        <v>4750337</v>
      </c>
      <c r="P7" s="1" t="n">
        <v>1119049</v>
      </c>
      <c r="Q7" s="1" t="n">
        <v>3631288</v>
      </c>
      <c r="R7" s="1" t="n">
        <v>871509</v>
      </c>
      <c r="S7" s="1" t="n">
        <v>2759779</v>
      </c>
      <c r="T7" s="1" t="n">
        <v>0.1697</v>
      </c>
    </row>
    <row r="8" customFormat="false" ht="15" hidden="false" customHeight="false" outlineLevel="0" collapsed="false">
      <c r="A8" s="1" t="s">
        <v>58</v>
      </c>
      <c r="B8" s="1" t="n">
        <v>16464885</v>
      </c>
      <c r="C8" s="1" t="n">
        <v>5835677</v>
      </c>
      <c r="D8" s="1" t="n">
        <v>10629208</v>
      </c>
      <c r="E8" s="1" t="n">
        <v>1194100</v>
      </c>
      <c r="F8" s="1" t="n">
        <v>696082</v>
      </c>
      <c r="G8" s="1" t="n">
        <v>898404</v>
      </c>
      <c r="H8" s="1" t="n">
        <v>481719</v>
      </c>
      <c r="I8" s="1" t="n">
        <v>763280</v>
      </c>
      <c r="J8" s="1" t="n">
        <v>287859</v>
      </c>
      <c r="K8" s="1" t="n">
        <v>4321444</v>
      </c>
      <c r="L8" s="1" t="n">
        <v>6307764</v>
      </c>
      <c r="M8" s="1" t="n">
        <v>0.3831</v>
      </c>
      <c r="N8" s="1" t="n">
        <v>1365742</v>
      </c>
      <c r="O8" s="1" t="n">
        <v>4942022</v>
      </c>
      <c r="P8" s="1" t="n">
        <v>1111258</v>
      </c>
      <c r="Q8" s="1" t="n">
        <v>3830764</v>
      </c>
      <c r="R8" s="1" t="n">
        <v>919383</v>
      </c>
      <c r="S8" s="1" t="n">
        <v>2911381</v>
      </c>
      <c r="T8" s="1" t="n">
        <v>0.1768</v>
      </c>
    </row>
    <row r="9" customFormat="false" ht="15" hidden="false" customHeight="false" outlineLevel="0" collapsed="false">
      <c r="A9" s="1" t="s">
        <v>59</v>
      </c>
      <c r="B9" s="1" t="n">
        <v>16645607</v>
      </c>
      <c r="C9" s="1" t="n">
        <v>6026203</v>
      </c>
      <c r="D9" s="1" t="n">
        <v>10619404</v>
      </c>
      <c r="E9" s="1" t="n">
        <v>1230519</v>
      </c>
      <c r="F9" s="1" t="n">
        <v>679757</v>
      </c>
      <c r="G9" s="1" t="n">
        <v>931349</v>
      </c>
      <c r="H9" s="1" t="n">
        <v>489831</v>
      </c>
      <c r="I9" s="1" t="n">
        <v>771346</v>
      </c>
      <c r="J9" s="1" t="n">
        <v>295806</v>
      </c>
      <c r="K9" s="1" t="n">
        <v>4398609</v>
      </c>
      <c r="L9" s="1" t="n">
        <v>6220795</v>
      </c>
      <c r="M9" s="1" t="n">
        <v>0.3737</v>
      </c>
      <c r="N9" s="1" t="n">
        <v>1391364</v>
      </c>
      <c r="O9" s="1" t="n">
        <v>4829431</v>
      </c>
      <c r="P9" s="1" t="n">
        <v>1103467</v>
      </c>
      <c r="Q9" s="1" t="n">
        <v>3725964</v>
      </c>
      <c r="R9" s="1" t="n">
        <v>894231</v>
      </c>
      <c r="S9" s="1" t="n">
        <v>2831733</v>
      </c>
      <c r="T9" s="1" t="n">
        <v>0.1701</v>
      </c>
    </row>
    <row r="10" customFormat="false" ht="15" hidden="false" customHeight="false" outlineLevel="0" collapsed="false">
      <c r="A10" s="1" t="s">
        <v>60</v>
      </c>
      <c r="B10" s="1" t="n">
        <v>16512376</v>
      </c>
      <c r="C10" s="1" t="n">
        <v>6043673</v>
      </c>
      <c r="D10" s="1" t="n">
        <v>10468703</v>
      </c>
      <c r="E10" s="1" t="n">
        <v>1219559</v>
      </c>
      <c r="F10" s="1" t="n">
        <v>675508</v>
      </c>
      <c r="G10" s="1" t="n">
        <v>808032</v>
      </c>
      <c r="H10" s="1" t="n">
        <v>487420</v>
      </c>
      <c r="I10" s="1" t="n">
        <v>759527</v>
      </c>
      <c r="J10" s="1" t="n">
        <v>291376</v>
      </c>
      <c r="K10" s="1" t="n">
        <v>4241423</v>
      </c>
      <c r="L10" s="1" t="n">
        <v>6227280</v>
      </c>
      <c r="M10" s="1" t="n">
        <v>0.3771</v>
      </c>
      <c r="N10" s="1" t="n">
        <v>1382270</v>
      </c>
      <c r="O10" s="1" t="n">
        <v>4845010</v>
      </c>
      <c r="P10" s="1" t="n">
        <v>1095676</v>
      </c>
      <c r="Q10" s="1" t="n">
        <v>3749334</v>
      </c>
      <c r="R10" s="1" t="n">
        <v>899840</v>
      </c>
      <c r="S10" s="1" t="n">
        <v>2849494</v>
      </c>
      <c r="T10" s="1" t="n">
        <v>0.1726</v>
      </c>
    </row>
    <row r="11" customFormat="false" ht="15" hidden="false" customHeight="false" outlineLevel="0" collapsed="false">
      <c r="A11" s="1" t="s">
        <v>61</v>
      </c>
      <c r="B11" s="1" t="n">
        <v>16491171</v>
      </c>
      <c r="C11" s="1" t="n">
        <v>5987737</v>
      </c>
      <c r="D11" s="1" t="n">
        <v>10503434</v>
      </c>
      <c r="E11" s="1" t="n">
        <v>1190025</v>
      </c>
      <c r="F11" s="1" t="n">
        <v>651406</v>
      </c>
      <c r="G11" s="1" t="n">
        <v>836811</v>
      </c>
      <c r="H11" s="1" t="n">
        <v>491517</v>
      </c>
      <c r="I11" s="1" t="n">
        <v>773355</v>
      </c>
      <c r="J11" s="1" t="n">
        <v>285113</v>
      </c>
      <c r="K11" s="1" t="n">
        <v>4228228</v>
      </c>
      <c r="L11" s="1" t="n">
        <v>6275206</v>
      </c>
      <c r="M11" s="1" t="n">
        <v>0.3805</v>
      </c>
      <c r="N11" s="1" t="n">
        <v>1553135</v>
      </c>
      <c r="O11" s="1" t="n">
        <v>4722071</v>
      </c>
      <c r="P11" s="1" t="n">
        <v>1087884</v>
      </c>
      <c r="Q11" s="1" t="n">
        <v>3634187</v>
      </c>
      <c r="R11" s="1" t="n">
        <v>872205</v>
      </c>
      <c r="S11" s="1" t="n">
        <v>2761982</v>
      </c>
      <c r="T11" s="1" t="n">
        <v>0.1675</v>
      </c>
    </row>
    <row r="12" customFormat="false" ht="15" hidden="false" customHeight="false" outlineLevel="0" collapsed="false">
      <c r="A12" s="1" t="s">
        <v>62</v>
      </c>
      <c r="B12" s="1" t="n">
        <v>16437455</v>
      </c>
      <c r="C12" s="1" t="n">
        <v>5923698</v>
      </c>
      <c r="D12" s="1" t="n">
        <v>10513757</v>
      </c>
      <c r="E12" s="1" t="n">
        <v>1149907</v>
      </c>
      <c r="F12" s="1" t="n">
        <v>705401</v>
      </c>
      <c r="G12" s="1" t="n">
        <v>864349</v>
      </c>
      <c r="H12" s="1" t="n">
        <v>478352</v>
      </c>
      <c r="I12" s="1" t="n">
        <v>780553</v>
      </c>
      <c r="J12" s="1" t="n">
        <v>283574</v>
      </c>
      <c r="K12" s="1" t="n">
        <v>4262135</v>
      </c>
      <c r="L12" s="1" t="n">
        <v>6251622</v>
      </c>
      <c r="M12" s="1" t="n">
        <v>0.3803</v>
      </c>
      <c r="N12" s="1" t="n">
        <v>1647770</v>
      </c>
      <c r="O12" s="1" t="n">
        <v>4603851</v>
      </c>
      <c r="P12" s="1" t="n">
        <v>1080093</v>
      </c>
      <c r="Q12" s="1" t="n">
        <v>3523758</v>
      </c>
      <c r="R12" s="1" t="n">
        <v>845702</v>
      </c>
      <c r="S12" s="1" t="n">
        <v>2678056</v>
      </c>
      <c r="T12" s="1" t="n">
        <v>0.1629</v>
      </c>
    </row>
    <row r="13" customFormat="false" ht="15" hidden="false" customHeight="false" outlineLevel="0" collapsed="false">
      <c r="A13" s="1" t="s">
        <v>63</v>
      </c>
      <c r="B13" s="1" t="n">
        <v>16335781</v>
      </c>
      <c r="C13" s="1" t="n">
        <v>5947388</v>
      </c>
      <c r="D13" s="1" t="n">
        <v>10388393</v>
      </c>
      <c r="E13" s="1" t="n">
        <v>1192905</v>
      </c>
      <c r="F13" s="1" t="n">
        <v>691132</v>
      </c>
      <c r="G13" s="1" t="n">
        <v>877134</v>
      </c>
      <c r="H13" s="1" t="n">
        <v>492346</v>
      </c>
      <c r="I13" s="1" t="n">
        <v>774357</v>
      </c>
      <c r="J13" s="1" t="n">
        <v>287281</v>
      </c>
      <c r="K13" s="1" t="n">
        <v>4315155</v>
      </c>
      <c r="L13" s="1" t="n">
        <v>6073239</v>
      </c>
      <c r="M13" s="1" t="n">
        <v>0.3718</v>
      </c>
      <c r="N13" s="1" t="n">
        <v>1390488</v>
      </c>
      <c r="O13" s="1" t="n">
        <v>4682751</v>
      </c>
      <c r="P13" s="1" t="n">
        <v>1072302</v>
      </c>
      <c r="Q13" s="1" t="n">
        <v>3610449</v>
      </c>
      <c r="R13" s="1" t="n">
        <v>866508</v>
      </c>
      <c r="S13" s="1" t="n">
        <v>2743941</v>
      </c>
      <c r="T13" s="1" t="n">
        <v>0.168</v>
      </c>
    </row>
    <row r="14" customFormat="false" ht="15" hidden="false" customHeight="false" outlineLevel="0" collapsed="false">
      <c r="A14" s="1" t="s">
        <v>64</v>
      </c>
      <c r="B14" s="1" t="n">
        <v>16523515</v>
      </c>
      <c r="C14" s="1" t="n">
        <v>6014937</v>
      </c>
      <c r="D14" s="1" t="n">
        <v>10508578</v>
      </c>
      <c r="E14" s="1" t="n">
        <v>1185614</v>
      </c>
      <c r="F14" s="1" t="n">
        <v>668392</v>
      </c>
      <c r="G14" s="1" t="n">
        <v>862411</v>
      </c>
      <c r="H14" s="1" t="n">
        <v>485174</v>
      </c>
      <c r="I14" s="1" t="n">
        <v>814617</v>
      </c>
      <c r="J14" s="1" t="n">
        <v>284359</v>
      </c>
      <c r="K14" s="1" t="n">
        <v>4300568</v>
      </c>
      <c r="L14" s="1" t="n">
        <v>6208010</v>
      </c>
      <c r="M14" s="1" t="n">
        <v>0.3757</v>
      </c>
      <c r="N14" s="1" t="n">
        <v>1455293</v>
      </c>
      <c r="O14" s="1" t="n">
        <v>4752717</v>
      </c>
      <c r="P14" s="1" t="n">
        <v>1064510</v>
      </c>
      <c r="Q14" s="1" t="n">
        <v>3688206</v>
      </c>
      <c r="R14" s="1" t="n">
        <v>885170</v>
      </c>
      <c r="S14" s="1" t="n">
        <v>2803037</v>
      </c>
      <c r="T14" s="1" t="n">
        <v>0.1696</v>
      </c>
    </row>
    <row r="15" customFormat="false" ht="15" hidden="false" customHeight="false" outlineLevel="0" collapsed="false">
      <c r="A15" s="1" t="s">
        <v>65</v>
      </c>
      <c r="B15" s="1" t="n">
        <v>16768344</v>
      </c>
      <c r="C15" s="1" t="n">
        <v>6021653</v>
      </c>
      <c r="D15" s="1" t="n">
        <v>10746691</v>
      </c>
      <c r="E15" s="1" t="n">
        <v>1213039</v>
      </c>
      <c r="F15" s="1" t="n">
        <v>685763</v>
      </c>
      <c r="G15" s="1" t="n">
        <v>868098</v>
      </c>
      <c r="H15" s="1" t="n">
        <v>502719</v>
      </c>
      <c r="I15" s="1" t="n">
        <v>768825</v>
      </c>
      <c r="J15" s="1" t="n">
        <v>271227</v>
      </c>
      <c r="K15" s="1" t="n">
        <v>4309672</v>
      </c>
      <c r="L15" s="1" t="n">
        <v>6437020</v>
      </c>
      <c r="M15" s="1" t="n">
        <v>0.3839</v>
      </c>
      <c r="N15" s="1" t="n">
        <v>1476355</v>
      </c>
      <c r="O15" s="1" t="n">
        <v>4960664</v>
      </c>
      <c r="P15" s="1" t="n">
        <v>1056719</v>
      </c>
      <c r="Q15" s="1" t="n">
        <v>3903945</v>
      </c>
      <c r="R15" s="1" t="n">
        <v>936947</v>
      </c>
      <c r="S15" s="1" t="n">
        <v>2966998</v>
      </c>
      <c r="T15" s="1" t="n">
        <v>0.1769</v>
      </c>
    </row>
    <row r="16" customFormat="false" ht="15" hidden="false" customHeight="false" outlineLevel="0" collapsed="false">
      <c r="A16" s="1" t="s">
        <v>66</v>
      </c>
      <c r="B16" s="1" t="n">
        <v>16933612</v>
      </c>
      <c r="C16" s="1" t="n">
        <v>6138472</v>
      </c>
      <c r="D16" s="1" t="n">
        <v>10795140</v>
      </c>
      <c r="E16" s="1" t="n">
        <v>1249662</v>
      </c>
      <c r="F16" s="1" t="n">
        <v>725018</v>
      </c>
      <c r="G16" s="1" t="n">
        <v>992313</v>
      </c>
      <c r="H16" s="1" t="n">
        <v>487471</v>
      </c>
      <c r="I16" s="1" t="n">
        <v>814184</v>
      </c>
      <c r="J16" s="1" t="n">
        <v>298963</v>
      </c>
      <c r="K16" s="1" t="n">
        <v>4567611</v>
      </c>
      <c r="L16" s="1" t="n">
        <v>6227529</v>
      </c>
      <c r="M16" s="1" t="n">
        <v>0.3678</v>
      </c>
      <c r="N16" s="1" t="n">
        <v>1475219</v>
      </c>
      <c r="O16" s="1" t="n">
        <v>4752311</v>
      </c>
      <c r="P16" s="1" t="n">
        <v>1048928</v>
      </c>
      <c r="Q16" s="1" t="n">
        <v>3703383</v>
      </c>
      <c r="R16" s="1" t="n">
        <v>888812</v>
      </c>
      <c r="S16" s="1" t="n">
        <v>2814571</v>
      </c>
      <c r="T16" s="1" t="n">
        <v>0.1662</v>
      </c>
    </row>
    <row r="17" customFormat="false" ht="15" hidden="false" customHeight="false" outlineLevel="0" collapsed="false">
      <c r="A17" s="1" t="s">
        <v>67</v>
      </c>
      <c r="B17" s="1" t="n">
        <v>16933478</v>
      </c>
      <c r="C17" s="1" t="n">
        <v>6180710</v>
      </c>
      <c r="D17" s="1" t="n">
        <v>10752768</v>
      </c>
      <c r="E17" s="1" t="n">
        <v>1186355</v>
      </c>
      <c r="F17" s="1" t="n">
        <v>682919</v>
      </c>
      <c r="G17" s="1" t="n">
        <v>915448</v>
      </c>
      <c r="H17" s="1" t="n">
        <v>519665</v>
      </c>
      <c r="I17" s="1" t="n">
        <v>781343</v>
      </c>
      <c r="J17" s="1" t="n">
        <v>289438</v>
      </c>
      <c r="K17" s="1" t="n">
        <v>4375169</v>
      </c>
      <c r="L17" s="1" t="n">
        <v>6377599</v>
      </c>
      <c r="M17" s="1" t="n">
        <v>0.3766</v>
      </c>
      <c r="N17" s="1" t="n">
        <v>1410107</v>
      </c>
      <c r="O17" s="1" t="n">
        <v>4967492</v>
      </c>
      <c r="P17" s="1" t="n">
        <v>1076360</v>
      </c>
      <c r="Q17" s="1" t="n">
        <v>3891132</v>
      </c>
      <c r="R17" s="1" t="n">
        <v>933872</v>
      </c>
      <c r="S17" s="1" t="n">
        <v>2957260</v>
      </c>
      <c r="T17" s="1" t="n">
        <v>0.1746</v>
      </c>
    </row>
    <row r="18" customFormat="false" ht="15" hidden="false" customHeight="false" outlineLevel="0" collapsed="false">
      <c r="A18" s="1" t="s">
        <v>68</v>
      </c>
      <c r="B18" s="1" t="n">
        <v>16954061</v>
      </c>
      <c r="C18" s="1" t="n">
        <v>6092840</v>
      </c>
      <c r="D18" s="1" t="n">
        <v>10861221</v>
      </c>
      <c r="E18" s="1" t="n">
        <v>1212000</v>
      </c>
      <c r="F18" s="1" t="n">
        <v>693694</v>
      </c>
      <c r="G18" s="1" t="n">
        <v>906156</v>
      </c>
      <c r="H18" s="1" t="n">
        <v>512138</v>
      </c>
      <c r="I18" s="1" t="n">
        <v>773823</v>
      </c>
      <c r="J18" s="1" t="n">
        <v>294135</v>
      </c>
      <c r="K18" s="1" t="n">
        <v>4391947</v>
      </c>
      <c r="L18" s="1" t="n">
        <v>6469273</v>
      </c>
      <c r="M18" s="1" t="n">
        <v>0.3816</v>
      </c>
      <c r="N18" s="1" t="n">
        <v>1435464</v>
      </c>
      <c r="O18" s="1" t="n">
        <v>5033809</v>
      </c>
      <c r="P18" s="1" t="n">
        <v>1073559</v>
      </c>
      <c r="Q18" s="1" t="n">
        <v>3960250</v>
      </c>
      <c r="R18" s="1" t="n">
        <v>950460</v>
      </c>
      <c r="S18" s="1" t="n">
        <v>3009790</v>
      </c>
      <c r="T18" s="1" t="n">
        <v>0.1775</v>
      </c>
    </row>
    <row r="19" customFormat="false" ht="15" hidden="false" customHeight="false" outlineLevel="0" collapsed="false">
      <c r="A19" s="1" t="s">
        <v>69</v>
      </c>
      <c r="B19" s="1" t="n">
        <v>17069386</v>
      </c>
      <c r="C19" s="1" t="n">
        <v>6259208</v>
      </c>
      <c r="D19" s="1" t="n">
        <v>10810178</v>
      </c>
      <c r="E19" s="1" t="n">
        <v>1174701</v>
      </c>
      <c r="F19" s="1" t="n">
        <v>694980</v>
      </c>
      <c r="G19" s="1" t="n">
        <v>951044</v>
      </c>
      <c r="H19" s="1" t="n">
        <v>519274</v>
      </c>
      <c r="I19" s="1" t="n">
        <v>805712</v>
      </c>
      <c r="J19" s="1" t="n">
        <v>280495</v>
      </c>
      <c r="K19" s="1" t="n">
        <v>4426205</v>
      </c>
      <c r="L19" s="1" t="n">
        <v>6383973</v>
      </c>
      <c r="M19" s="1" t="n">
        <v>0.374</v>
      </c>
      <c r="N19" s="1" t="n">
        <v>1432418</v>
      </c>
      <c r="O19" s="1" t="n">
        <v>4951555</v>
      </c>
      <c r="P19" s="1" t="n">
        <v>1136190</v>
      </c>
      <c r="Q19" s="1" t="n">
        <v>3815366</v>
      </c>
      <c r="R19" s="1" t="n">
        <v>915688</v>
      </c>
      <c r="S19" s="1" t="n">
        <v>2899678</v>
      </c>
      <c r="T19" s="1" t="n">
        <v>0.1699</v>
      </c>
    </row>
    <row r="20" customFormat="false" ht="15" hidden="false" customHeight="false" outlineLevel="0" collapsed="false">
      <c r="A20" s="1" t="s">
        <v>70</v>
      </c>
      <c r="B20" s="1" t="n">
        <v>17095853</v>
      </c>
      <c r="C20" s="1" t="n">
        <v>6188031</v>
      </c>
      <c r="D20" s="1" t="n">
        <v>10907822</v>
      </c>
      <c r="E20" s="1" t="n">
        <v>1231738</v>
      </c>
      <c r="F20" s="1" t="n">
        <v>694549</v>
      </c>
      <c r="G20" s="1" t="n">
        <v>952786</v>
      </c>
      <c r="H20" s="1" t="n">
        <v>514587</v>
      </c>
      <c r="I20" s="1" t="n">
        <v>809480</v>
      </c>
      <c r="J20" s="1" t="n">
        <v>291467</v>
      </c>
      <c r="K20" s="1" t="n">
        <v>4494608</v>
      </c>
      <c r="L20" s="1" t="n">
        <v>6413214</v>
      </c>
      <c r="M20" s="1" t="n">
        <v>0.3751</v>
      </c>
      <c r="N20" s="1" t="n">
        <v>1433608</v>
      </c>
      <c r="O20" s="1" t="n">
        <v>4979606</v>
      </c>
      <c r="P20" s="1" t="n">
        <v>1088962</v>
      </c>
      <c r="Q20" s="1" t="n">
        <v>3890644</v>
      </c>
      <c r="R20" s="1" t="n">
        <v>933754</v>
      </c>
      <c r="S20" s="1" t="n">
        <v>2956889</v>
      </c>
      <c r="T20" s="1" t="n">
        <v>0.173</v>
      </c>
    </row>
    <row r="21" customFormat="false" ht="15" hidden="false" customHeight="false" outlineLevel="0" collapsed="false">
      <c r="A21" s="1" t="s">
        <v>71</v>
      </c>
      <c r="B21" s="1" t="n">
        <v>17241368</v>
      </c>
      <c r="C21" s="1" t="n">
        <v>6204817</v>
      </c>
      <c r="D21" s="1" t="n">
        <v>11036551</v>
      </c>
      <c r="E21" s="1" t="n">
        <v>1200806</v>
      </c>
      <c r="F21" s="1" t="n">
        <v>741965</v>
      </c>
      <c r="G21" s="1" t="n">
        <v>894010</v>
      </c>
      <c r="H21" s="1" t="n">
        <v>493318</v>
      </c>
      <c r="I21" s="1" t="n">
        <v>816454</v>
      </c>
      <c r="J21" s="1" t="n">
        <v>295808</v>
      </c>
      <c r="K21" s="1" t="n">
        <v>4442361</v>
      </c>
      <c r="L21" s="1" t="n">
        <v>6594190</v>
      </c>
      <c r="M21" s="1" t="n">
        <v>0.3825</v>
      </c>
      <c r="N21" s="1" t="n">
        <v>1332446</v>
      </c>
      <c r="O21" s="1" t="n">
        <v>5261744</v>
      </c>
      <c r="P21" s="1" t="n">
        <v>1044525</v>
      </c>
      <c r="Q21" s="1" t="n">
        <v>4217219</v>
      </c>
      <c r="R21" s="1" t="n">
        <v>1012133</v>
      </c>
      <c r="S21" s="1" t="n">
        <v>3205087</v>
      </c>
      <c r="T21" s="1" t="n">
        <v>0.1859</v>
      </c>
    </row>
    <row r="22" customFormat="false" ht="15" hidden="false" customHeight="false" outlineLevel="0" collapsed="false">
      <c r="A22" s="1" t="s">
        <v>72</v>
      </c>
      <c r="B22" s="1" t="n">
        <v>17372752</v>
      </c>
      <c r="C22" s="1" t="n">
        <v>6288843</v>
      </c>
      <c r="D22" s="1" t="n">
        <v>11083909</v>
      </c>
      <c r="E22" s="1" t="n">
        <v>1268607</v>
      </c>
      <c r="F22" s="1" t="n">
        <v>710290</v>
      </c>
      <c r="G22" s="1" t="n">
        <v>966602</v>
      </c>
      <c r="H22" s="1" t="n">
        <v>516798</v>
      </c>
      <c r="I22" s="1" t="n">
        <v>830823</v>
      </c>
      <c r="J22" s="1" t="n">
        <v>298166</v>
      </c>
      <c r="K22" s="1" t="n">
        <v>4591287</v>
      </c>
      <c r="L22" s="1" t="n">
        <v>6492622</v>
      </c>
      <c r="M22" s="1" t="n">
        <v>0.3737</v>
      </c>
      <c r="N22" s="1" t="n">
        <v>1483334</v>
      </c>
      <c r="O22" s="1" t="n">
        <v>5009288</v>
      </c>
      <c r="P22" s="1" t="n">
        <v>1144667</v>
      </c>
      <c r="Q22" s="1" t="n">
        <v>3864622</v>
      </c>
      <c r="R22" s="1" t="n">
        <v>927509</v>
      </c>
      <c r="S22" s="1" t="n">
        <v>2937112</v>
      </c>
      <c r="T22" s="1" t="n">
        <v>0.1691</v>
      </c>
    </row>
    <row r="23" customFormat="false" ht="15" hidden="false" customHeight="false" outlineLevel="0" collapsed="false">
      <c r="A23" s="1" t="s">
        <v>73</v>
      </c>
      <c r="B23" s="1" t="n">
        <v>17379812</v>
      </c>
      <c r="C23" s="1" t="n">
        <v>6259550</v>
      </c>
      <c r="D23" s="1" t="n">
        <v>11120262</v>
      </c>
      <c r="E23" s="1" t="n">
        <v>1209766</v>
      </c>
      <c r="F23" s="1" t="n">
        <v>729748</v>
      </c>
      <c r="G23" s="1" t="n">
        <v>911602</v>
      </c>
      <c r="H23" s="1" t="n">
        <v>521490</v>
      </c>
      <c r="I23" s="1" t="n">
        <v>811651</v>
      </c>
      <c r="J23" s="1" t="n">
        <v>291806</v>
      </c>
      <c r="K23" s="1" t="n">
        <v>4476063</v>
      </c>
      <c r="L23" s="1" t="n">
        <v>6644200</v>
      </c>
      <c r="M23" s="1" t="n">
        <v>0.3823</v>
      </c>
      <c r="N23" s="1" t="n">
        <v>1430481</v>
      </c>
      <c r="O23" s="1" t="n">
        <v>5213719</v>
      </c>
      <c r="P23" s="1" t="n">
        <v>1058599</v>
      </c>
      <c r="Q23" s="1" t="n">
        <v>4155120</v>
      </c>
      <c r="R23" s="1" t="n">
        <v>997229</v>
      </c>
      <c r="S23" s="1" t="n">
        <v>3157891</v>
      </c>
      <c r="T23" s="1" t="n">
        <v>0.1817</v>
      </c>
    </row>
    <row r="24" customFormat="false" ht="15" hidden="false" customHeight="false" outlineLevel="0" collapsed="false">
      <c r="A24" s="1" t="s">
        <v>74</v>
      </c>
      <c r="B24" s="1" t="n">
        <v>17465038</v>
      </c>
      <c r="C24" s="1" t="n">
        <v>6406189</v>
      </c>
      <c r="D24" s="1" t="n">
        <v>11058849</v>
      </c>
      <c r="E24" s="1" t="n">
        <v>1239491</v>
      </c>
      <c r="F24" s="1" t="n">
        <v>705104</v>
      </c>
      <c r="G24" s="1" t="n">
        <v>880529</v>
      </c>
      <c r="H24" s="1" t="n">
        <v>532715</v>
      </c>
      <c r="I24" s="1" t="n">
        <v>820077</v>
      </c>
      <c r="J24" s="1" t="n">
        <v>309966</v>
      </c>
      <c r="K24" s="1" t="n">
        <v>4487882</v>
      </c>
      <c r="L24" s="1" t="n">
        <v>6570967</v>
      </c>
      <c r="M24" s="1" t="n">
        <v>0.3762</v>
      </c>
      <c r="N24" s="1" t="n">
        <v>1464832</v>
      </c>
      <c r="O24" s="1" t="n">
        <v>5106135</v>
      </c>
      <c r="P24" s="1" t="n">
        <v>1040224</v>
      </c>
      <c r="Q24" s="1" t="n">
        <v>4065911</v>
      </c>
      <c r="R24" s="1" t="n">
        <v>975819</v>
      </c>
      <c r="S24" s="1" t="n">
        <v>3090092</v>
      </c>
      <c r="T24" s="1" t="n">
        <v>0.1769</v>
      </c>
    </row>
    <row r="25" customFormat="false" ht="15" hidden="false" customHeight="false" outlineLevel="0" collapsed="false">
      <c r="A25" s="1" t="s">
        <v>75</v>
      </c>
      <c r="B25" s="1" t="n">
        <v>17495598</v>
      </c>
      <c r="C25" s="1" t="n">
        <v>6449339</v>
      </c>
      <c r="D25" s="1" t="n">
        <v>11046259</v>
      </c>
      <c r="E25" s="1" t="n">
        <v>1264786</v>
      </c>
      <c r="F25" s="1" t="n">
        <v>756544</v>
      </c>
      <c r="G25" s="1" t="n">
        <v>1007181</v>
      </c>
      <c r="H25" s="1" t="n">
        <v>510565</v>
      </c>
      <c r="I25" s="1" t="n">
        <v>856292</v>
      </c>
      <c r="J25" s="1" t="n">
        <v>301072</v>
      </c>
      <c r="K25" s="1" t="n">
        <v>4696440</v>
      </c>
      <c r="L25" s="1" t="n">
        <v>6349819</v>
      </c>
      <c r="M25" s="1" t="n">
        <v>0.3629</v>
      </c>
      <c r="N25" s="1" t="n">
        <v>1608827</v>
      </c>
      <c r="O25" s="1" t="n">
        <v>4740992</v>
      </c>
      <c r="P25" s="1" t="n">
        <v>1019417</v>
      </c>
      <c r="Q25" s="1" t="n">
        <v>3721575</v>
      </c>
      <c r="R25" s="1" t="n">
        <v>893178</v>
      </c>
      <c r="S25" s="1" t="n">
        <v>2828397</v>
      </c>
      <c r="T25" s="1" t="n">
        <v>0.1617</v>
      </c>
    </row>
    <row r="26" customFormat="false" ht="15" hidden="false" customHeight="false" outlineLevel="0" collapsed="false">
      <c r="A26" s="1" t="s">
        <v>76</v>
      </c>
      <c r="B26" s="1" t="n">
        <v>17431467</v>
      </c>
      <c r="C26" s="1" t="n">
        <v>6386028</v>
      </c>
      <c r="D26" s="1" t="n">
        <v>11045439</v>
      </c>
      <c r="E26" s="1" t="n">
        <v>1289412</v>
      </c>
      <c r="F26" s="1" t="n">
        <v>755298</v>
      </c>
      <c r="G26" s="1" t="n">
        <v>864038</v>
      </c>
      <c r="H26" s="1" t="n">
        <v>520355</v>
      </c>
      <c r="I26" s="1" t="n">
        <v>828320</v>
      </c>
      <c r="J26" s="1" t="n">
        <v>313127</v>
      </c>
      <c r="K26" s="1" t="n">
        <v>4570550</v>
      </c>
      <c r="L26" s="1" t="n">
        <v>6474889</v>
      </c>
      <c r="M26" s="1" t="n">
        <v>0.3714</v>
      </c>
      <c r="N26" s="1" t="n">
        <v>1481536</v>
      </c>
      <c r="O26" s="1" t="n">
        <v>4993353</v>
      </c>
      <c r="P26" s="1" t="n">
        <v>1061489</v>
      </c>
      <c r="Q26" s="1" t="n">
        <v>3931865</v>
      </c>
      <c r="R26" s="1" t="n">
        <v>943648</v>
      </c>
      <c r="S26" s="1" t="n">
        <v>2988217</v>
      </c>
      <c r="T26" s="1" t="n">
        <v>0.1714</v>
      </c>
    </row>
    <row r="27" customFormat="false" ht="15" hidden="false" customHeight="false" outlineLevel="0" collapsed="false">
      <c r="A27" s="1" t="s">
        <v>77</v>
      </c>
      <c r="B27" s="1" t="n">
        <v>17592556</v>
      </c>
      <c r="C27" s="1" t="n">
        <v>6209176</v>
      </c>
      <c r="D27" s="1" t="n">
        <v>11383380</v>
      </c>
      <c r="E27" s="1" t="n">
        <v>1250823</v>
      </c>
      <c r="F27" s="1" t="n">
        <v>736740</v>
      </c>
      <c r="G27" s="1" t="n">
        <v>909885</v>
      </c>
      <c r="H27" s="1" t="n">
        <v>528450</v>
      </c>
      <c r="I27" s="1" t="n">
        <v>820682</v>
      </c>
      <c r="J27" s="1" t="n">
        <v>288368</v>
      </c>
      <c r="K27" s="1" t="n">
        <v>4534947</v>
      </c>
      <c r="L27" s="1" t="n">
        <v>6848433</v>
      </c>
      <c r="M27" s="1" t="n">
        <v>0.3893</v>
      </c>
      <c r="N27" s="1" t="n">
        <v>1323637</v>
      </c>
      <c r="O27" s="1" t="n">
        <v>5524796</v>
      </c>
      <c r="P27" s="1" t="n">
        <v>1069985</v>
      </c>
      <c r="Q27" s="1" t="n">
        <v>4454811</v>
      </c>
      <c r="R27" s="1" t="n">
        <v>1069155</v>
      </c>
      <c r="S27" s="1" t="n">
        <v>3385656</v>
      </c>
      <c r="T27" s="1" t="n">
        <v>0.1924</v>
      </c>
    </row>
    <row r="28" customFormat="false" ht="15" hidden="false" customHeight="false" outlineLevel="0" collapsed="false">
      <c r="A28" s="1" t="s">
        <v>78</v>
      </c>
      <c r="B28" s="1" t="n">
        <v>17648687</v>
      </c>
      <c r="C28" s="1" t="n">
        <v>6398159</v>
      </c>
      <c r="D28" s="1" t="n">
        <v>11250528</v>
      </c>
      <c r="E28" s="1" t="n">
        <v>1250791</v>
      </c>
      <c r="F28" s="1" t="n">
        <v>748499</v>
      </c>
      <c r="G28" s="1" t="n">
        <v>844008</v>
      </c>
      <c r="H28" s="1" t="n">
        <v>545597</v>
      </c>
      <c r="I28" s="1" t="n">
        <v>853284</v>
      </c>
      <c r="J28" s="1" t="n">
        <v>294289</v>
      </c>
      <c r="K28" s="1" t="n">
        <v>4536467</v>
      </c>
      <c r="L28" s="1" t="n">
        <v>6714061</v>
      </c>
      <c r="M28" s="1" t="n">
        <v>0.3804</v>
      </c>
      <c r="N28" s="1" t="n">
        <v>1536121</v>
      </c>
      <c r="O28" s="1" t="n">
        <v>5177939</v>
      </c>
      <c r="P28" s="1" t="n">
        <v>1032317</v>
      </c>
      <c r="Q28" s="1" t="n">
        <v>4145623</v>
      </c>
      <c r="R28" s="1" t="n">
        <v>994949</v>
      </c>
      <c r="S28" s="1" t="n">
        <v>3150673</v>
      </c>
      <c r="T28" s="1" t="n">
        <v>0.1785</v>
      </c>
    </row>
    <row r="29" customFormat="false" ht="15" hidden="false" customHeight="false" outlineLevel="0" collapsed="false">
      <c r="A29" s="1" t="s">
        <v>79</v>
      </c>
      <c r="B29" s="1" t="n">
        <v>17751364</v>
      </c>
      <c r="C29" s="1" t="n">
        <v>6231639</v>
      </c>
      <c r="D29" s="1" t="n">
        <v>11519725</v>
      </c>
      <c r="E29" s="1" t="n">
        <v>1308794</v>
      </c>
      <c r="F29" s="1" t="n">
        <v>718878</v>
      </c>
      <c r="G29" s="1" t="n">
        <v>903526</v>
      </c>
      <c r="H29" s="1" t="n">
        <v>521259</v>
      </c>
      <c r="I29" s="1" t="n">
        <v>860189</v>
      </c>
      <c r="J29" s="1" t="n">
        <v>317492</v>
      </c>
      <c r="K29" s="1" t="n">
        <v>4630137</v>
      </c>
      <c r="L29" s="1" t="n">
        <v>6889589</v>
      </c>
      <c r="M29" s="1" t="n">
        <v>0.3881</v>
      </c>
      <c r="N29" s="1" t="n">
        <v>1513887</v>
      </c>
      <c r="O29" s="1" t="n">
        <v>5375702</v>
      </c>
      <c r="P29" s="1" t="n">
        <v>1035051</v>
      </c>
      <c r="Q29" s="1" t="n">
        <v>4340651</v>
      </c>
      <c r="R29" s="1" t="n">
        <v>1041756</v>
      </c>
      <c r="S29" s="1" t="n">
        <v>3298894</v>
      </c>
      <c r="T29" s="1" t="n">
        <v>0.1858</v>
      </c>
    </row>
    <row r="30" customFormat="false" ht="15" hidden="false" customHeight="false" outlineLevel="0" collapsed="false">
      <c r="A30" s="1" t="s">
        <v>80</v>
      </c>
      <c r="B30" s="1" t="n">
        <v>17802420</v>
      </c>
      <c r="C30" s="1" t="n">
        <v>6506701</v>
      </c>
      <c r="D30" s="1" t="n">
        <v>11295719</v>
      </c>
      <c r="E30" s="1" t="n">
        <v>1240790</v>
      </c>
      <c r="F30" s="1" t="n">
        <v>730090</v>
      </c>
      <c r="G30" s="1" t="n">
        <v>931812</v>
      </c>
      <c r="H30" s="1" t="n">
        <v>519232</v>
      </c>
      <c r="I30" s="1" t="n">
        <v>866048</v>
      </c>
      <c r="J30" s="1" t="n">
        <v>332262</v>
      </c>
      <c r="K30" s="1" t="n">
        <v>4620233</v>
      </c>
      <c r="L30" s="1" t="n">
        <v>6675486</v>
      </c>
      <c r="M30" s="1" t="n">
        <v>0.375</v>
      </c>
      <c r="N30" s="1" t="n">
        <v>1607328</v>
      </c>
      <c r="O30" s="1" t="n">
        <v>5068158</v>
      </c>
      <c r="P30" s="1" t="n">
        <v>1045469</v>
      </c>
      <c r="Q30" s="1" t="n">
        <v>4022689</v>
      </c>
      <c r="R30" s="1" t="n">
        <v>965445</v>
      </c>
      <c r="S30" s="1" t="n">
        <v>3057244</v>
      </c>
      <c r="T30" s="1" t="n">
        <v>0.1717</v>
      </c>
    </row>
    <row r="31" customFormat="false" ht="15" hidden="false" customHeight="false" outlineLevel="0" collapsed="false">
      <c r="A31" s="1" t="s">
        <v>81</v>
      </c>
      <c r="B31" s="1" t="n">
        <v>17927329</v>
      </c>
      <c r="C31" s="1" t="n">
        <v>6347034</v>
      </c>
      <c r="D31" s="1" t="n">
        <v>11580295</v>
      </c>
      <c r="E31" s="1" t="n">
        <v>1262220</v>
      </c>
      <c r="F31" s="1" t="n">
        <v>709506</v>
      </c>
      <c r="G31" s="1" t="n">
        <v>995426</v>
      </c>
      <c r="H31" s="1" t="n">
        <v>521627</v>
      </c>
      <c r="I31" s="1" t="n">
        <v>889304</v>
      </c>
      <c r="J31" s="1" t="n">
        <v>319696</v>
      </c>
      <c r="K31" s="1" t="n">
        <v>4697779</v>
      </c>
      <c r="L31" s="1" t="n">
        <v>6882516</v>
      </c>
      <c r="M31" s="1" t="n">
        <v>0.3839</v>
      </c>
      <c r="N31" s="1" t="n">
        <v>1624138</v>
      </c>
      <c r="O31" s="1" t="n">
        <v>5258378</v>
      </c>
      <c r="P31" s="1" t="n">
        <v>988912</v>
      </c>
      <c r="Q31" s="1" t="n">
        <v>4269465</v>
      </c>
      <c r="R31" s="1" t="n">
        <v>1024672</v>
      </c>
      <c r="S31" s="1" t="n">
        <v>3244794</v>
      </c>
      <c r="T31" s="1" t="n">
        <v>0.181</v>
      </c>
    </row>
    <row r="32" customFormat="false" ht="15" hidden="false" customHeight="false" outlineLevel="0" collapsed="false">
      <c r="A32" s="1" t="s">
        <v>82</v>
      </c>
      <c r="B32" s="1" t="n">
        <v>18092578</v>
      </c>
      <c r="C32" s="1" t="n">
        <v>6702278</v>
      </c>
      <c r="D32" s="1" t="n">
        <v>11390300</v>
      </c>
      <c r="E32" s="1" t="n">
        <v>1256265</v>
      </c>
      <c r="F32" s="1" t="n">
        <v>739110</v>
      </c>
      <c r="G32" s="1" t="n">
        <v>931896</v>
      </c>
      <c r="H32" s="1" t="n">
        <v>550118</v>
      </c>
      <c r="I32" s="1" t="n">
        <v>852211</v>
      </c>
      <c r="J32" s="1" t="n">
        <v>321547</v>
      </c>
      <c r="K32" s="1" t="n">
        <v>4651148</v>
      </c>
      <c r="L32" s="1" t="n">
        <v>6739152</v>
      </c>
      <c r="M32" s="1" t="n">
        <v>0.3725</v>
      </c>
      <c r="N32" s="1" t="n">
        <v>1465518</v>
      </c>
      <c r="O32" s="1" t="n">
        <v>5273634</v>
      </c>
      <c r="P32" s="1" t="n">
        <v>1010280</v>
      </c>
      <c r="Q32" s="1" t="n">
        <v>4263354</v>
      </c>
      <c r="R32" s="1" t="n">
        <v>1023205</v>
      </c>
      <c r="S32" s="1" t="n">
        <v>3240149</v>
      </c>
      <c r="T32" s="1" t="n">
        <v>0.1791</v>
      </c>
    </row>
    <row r="33" customFormat="false" ht="15" hidden="false" customHeight="false" outlineLevel="0" collapsed="false">
      <c r="A33" s="1" t="s">
        <v>83</v>
      </c>
      <c r="B33" s="1" t="n">
        <v>18172926</v>
      </c>
      <c r="C33" s="1" t="n">
        <v>6634577</v>
      </c>
      <c r="D33" s="1" t="n">
        <v>11538349</v>
      </c>
      <c r="E33" s="1" t="n">
        <v>1273781</v>
      </c>
      <c r="F33" s="1" t="n">
        <v>752903</v>
      </c>
      <c r="G33" s="1" t="n">
        <v>936734</v>
      </c>
      <c r="H33" s="1" t="n">
        <v>549001</v>
      </c>
      <c r="I33" s="1" t="n">
        <v>867435</v>
      </c>
      <c r="J33" s="1" t="n">
        <v>319722</v>
      </c>
      <c r="K33" s="1" t="n">
        <v>4699576</v>
      </c>
      <c r="L33" s="1" t="n">
        <v>6838773</v>
      </c>
      <c r="M33" s="1" t="n">
        <v>0.3763</v>
      </c>
      <c r="N33" s="1" t="n">
        <v>1534274</v>
      </c>
      <c r="O33" s="1" t="n">
        <v>5304499</v>
      </c>
      <c r="P33" s="1" t="n">
        <v>1062214</v>
      </c>
      <c r="Q33" s="1" t="n">
        <v>4242285</v>
      </c>
      <c r="R33" s="1" t="n">
        <v>1018148</v>
      </c>
      <c r="S33" s="1" t="n">
        <v>3224137</v>
      </c>
      <c r="T33" s="1" t="n">
        <v>0.1774</v>
      </c>
    </row>
    <row r="34" customFormat="false" ht="15" hidden="false" customHeight="false" outlineLevel="0" collapsed="false">
      <c r="A34" s="1" t="s">
        <v>84</v>
      </c>
      <c r="B34" s="1" t="n">
        <v>18427740</v>
      </c>
      <c r="C34" s="1" t="n">
        <v>6462443</v>
      </c>
      <c r="D34" s="1" t="n">
        <v>11965297</v>
      </c>
      <c r="E34" s="1" t="n">
        <v>1301363</v>
      </c>
      <c r="F34" s="1" t="n">
        <v>737153</v>
      </c>
      <c r="G34" s="1" t="n">
        <v>1040358</v>
      </c>
      <c r="H34" s="1" t="n">
        <v>536966</v>
      </c>
      <c r="I34" s="1" t="n">
        <v>873608</v>
      </c>
      <c r="J34" s="1" t="n">
        <v>317914</v>
      </c>
      <c r="K34" s="1" t="n">
        <v>4807362</v>
      </c>
      <c r="L34" s="1" t="n">
        <v>7157935</v>
      </c>
      <c r="M34" s="1" t="n">
        <v>0.3884</v>
      </c>
      <c r="N34" s="1" t="n">
        <v>1578249</v>
      </c>
      <c r="O34" s="1" t="n">
        <v>5579686</v>
      </c>
      <c r="P34" s="1" t="n">
        <v>944794</v>
      </c>
      <c r="Q34" s="1" t="n">
        <v>4634891</v>
      </c>
      <c r="R34" s="1" t="n">
        <v>1112374</v>
      </c>
      <c r="S34" s="1" t="n">
        <v>3522517</v>
      </c>
      <c r="T34" s="1" t="n">
        <v>0.1912</v>
      </c>
    </row>
    <row r="35" customFormat="false" ht="15" hidden="false" customHeight="false" outlineLevel="0" collapsed="false">
      <c r="A35" s="1" t="s">
        <v>85</v>
      </c>
      <c r="B35" s="1" t="n">
        <v>18957448</v>
      </c>
      <c r="C35" s="1" t="n">
        <v>6796138</v>
      </c>
      <c r="D35" s="1" t="n">
        <v>12161310</v>
      </c>
      <c r="E35" s="1" t="n">
        <v>1346836</v>
      </c>
      <c r="F35" s="1" t="n">
        <v>787177</v>
      </c>
      <c r="G35" s="1" t="n">
        <v>1014536</v>
      </c>
      <c r="H35" s="1" t="n">
        <v>561012</v>
      </c>
      <c r="I35" s="1" t="n">
        <v>887050</v>
      </c>
      <c r="J35" s="1" t="n">
        <v>327939</v>
      </c>
      <c r="K35" s="1" t="n">
        <v>4924550</v>
      </c>
      <c r="L35" s="1" t="n">
        <v>7236759</v>
      </c>
      <c r="M35" s="1" t="n">
        <v>0.3817</v>
      </c>
      <c r="N35" s="1" t="n">
        <v>1572356</v>
      </c>
      <c r="O35" s="1" t="n">
        <v>5664403</v>
      </c>
      <c r="P35" s="1" t="n">
        <v>977341</v>
      </c>
      <c r="Q35" s="1" t="n">
        <v>4687063</v>
      </c>
      <c r="R35" s="1" t="n">
        <v>1124895</v>
      </c>
      <c r="S35" s="1" t="n">
        <v>3562168</v>
      </c>
      <c r="T35" s="1" t="n">
        <v>0.1879</v>
      </c>
    </row>
    <row r="36" customFormat="false" ht="15" hidden="false" customHeight="false" outlineLevel="0" collapsed="false">
      <c r="A36" s="1" t="s">
        <v>86</v>
      </c>
      <c r="B36" s="1" t="n">
        <v>19067675</v>
      </c>
      <c r="C36" s="1" t="n">
        <v>6986535</v>
      </c>
      <c r="D36" s="1" t="n">
        <v>12081140</v>
      </c>
      <c r="E36" s="1" t="n">
        <v>1366400</v>
      </c>
      <c r="F36" s="1" t="n">
        <v>769749</v>
      </c>
      <c r="G36" s="1" t="n">
        <v>1008624</v>
      </c>
      <c r="H36" s="1" t="n">
        <v>573596</v>
      </c>
      <c r="I36" s="1" t="n">
        <v>911626</v>
      </c>
      <c r="J36" s="1" t="n">
        <v>325032</v>
      </c>
      <c r="K36" s="1" t="n">
        <v>4955027</v>
      </c>
      <c r="L36" s="1" t="n">
        <v>7126113</v>
      </c>
      <c r="M36" s="1" t="n">
        <v>0.3737</v>
      </c>
      <c r="N36" s="1" t="n">
        <v>1577588</v>
      </c>
      <c r="O36" s="1" t="n">
        <v>5548525</v>
      </c>
      <c r="P36" s="1" t="n">
        <v>967096</v>
      </c>
      <c r="Q36" s="1" t="n">
        <v>4581428</v>
      </c>
      <c r="R36" s="1" t="n">
        <v>1099543</v>
      </c>
      <c r="S36" s="1" t="n">
        <v>3481886</v>
      </c>
      <c r="T36" s="1" t="n">
        <v>0.1826</v>
      </c>
    </row>
    <row r="37" customFormat="false" ht="15" hidden="false" customHeight="false" outlineLevel="0" collapsed="false">
      <c r="A37" s="1" t="s">
        <v>87</v>
      </c>
      <c r="B37" s="1" t="n">
        <v>19381681</v>
      </c>
      <c r="C37" s="1" t="n">
        <v>6929848</v>
      </c>
      <c r="D37" s="1" t="n">
        <v>12451833</v>
      </c>
      <c r="E37" s="1" t="n">
        <v>1354862</v>
      </c>
      <c r="F37" s="1" t="n">
        <v>818514</v>
      </c>
      <c r="G37" s="1" t="n">
        <v>1113118</v>
      </c>
      <c r="H37" s="1" t="n">
        <v>566273</v>
      </c>
      <c r="I37" s="1" t="n">
        <v>937223</v>
      </c>
      <c r="J37" s="1" t="n">
        <v>336703</v>
      </c>
      <c r="K37" s="1" t="n">
        <v>5126692</v>
      </c>
      <c r="L37" s="1" t="n">
        <v>7325140</v>
      </c>
      <c r="M37" s="1" t="n">
        <v>0.3779</v>
      </c>
      <c r="N37" s="1" t="n">
        <v>1642878</v>
      </c>
      <c r="O37" s="1" t="n">
        <v>5682262</v>
      </c>
      <c r="P37" s="1" t="n">
        <v>941057</v>
      </c>
      <c r="Q37" s="1" t="n">
        <v>4741205</v>
      </c>
      <c r="R37" s="1" t="n">
        <v>1137889</v>
      </c>
      <c r="S37" s="1" t="n">
        <v>3603316</v>
      </c>
      <c r="T37" s="1" t="n">
        <v>0.1859</v>
      </c>
    </row>
    <row r="38" customFormat="false" ht="15" hidden="false" customHeight="false" outlineLevel="0" collapsed="false">
      <c r="A38" s="1" t="s">
        <v>88</v>
      </c>
      <c r="B38" s="1" t="n">
        <v>19460159</v>
      </c>
      <c r="C38" s="1" t="n">
        <v>7115131</v>
      </c>
      <c r="D38" s="1" t="n">
        <v>12345028</v>
      </c>
      <c r="E38" s="1" t="n">
        <v>1372845</v>
      </c>
      <c r="F38" s="1" t="n">
        <v>804757</v>
      </c>
      <c r="G38" s="1" t="n">
        <v>1075217</v>
      </c>
      <c r="H38" s="1" t="n">
        <v>563835</v>
      </c>
      <c r="I38" s="1" t="n">
        <v>956234</v>
      </c>
      <c r="J38" s="1" t="n">
        <v>322925</v>
      </c>
      <c r="K38" s="1" t="n">
        <v>5095811</v>
      </c>
      <c r="L38" s="1" t="n">
        <v>7249217</v>
      </c>
      <c r="M38" s="1" t="n">
        <v>0.3725</v>
      </c>
      <c r="N38" s="1" t="n">
        <v>1530177</v>
      </c>
      <c r="O38" s="1" t="n">
        <v>5719040</v>
      </c>
      <c r="P38" s="1" t="n">
        <v>989369</v>
      </c>
      <c r="Q38" s="1" t="n">
        <v>4729671</v>
      </c>
      <c r="R38" s="1" t="n">
        <v>1135121</v>
      </c>
      <c r="S38" s="1" t="n">
        <v>3594550</v>
      </c>
      <c r="T38" s="1" t="n">
        <v>0.1847</v>
      </c>
    </row>
    <row r="39" customFormat="false" ht="15" hidden="false" customHeight="false" outlineLevel="0" collapsed="false">
      <c r="A39" s="1" t="s">
        <v>89</v>
      </c>
      <c r="B39" s="1" t="n">
        <v>19382732</v>
      </c>
      <c r="C39" s="1" t="n">
        <v>6800334</v>
      </c>
      <c r="D39" s="1" t="n">
        <v>12582398</v>
      </c>
      <c r="E39" s="1" t="n">
        <v>1382533</v>
      </c>
      <c r="F39" s="1" t="n">
        <v>750270</v>
      </c>
      <c r="G39" s="1" t="n">
        <v>1056883</v>
      </c>
      <c r="H39" s="1" t="n">
        <v>572772</v>
      </c>
      <c r="I39" s="1" t="n">
        <v>940419</v>
      </c>
      <c r="J39" s="1" t="n">
        <v>350928</v>
      </c>
      <c r="K39" s="1" t="n">
        <v>5053806</v>
      </c>
      <c r="L39" s="1" t="n">
        <v>7528592</v>
      </c>
      <c r="M39" s="1" t="n">
        <v>0.3884</v>
      </c>
      <c r="N39" s="1" t="n">
        <v>1546363</v>
      </c>
      <c r="O39" s="1" t="n">
        <v>5982229</v>
      </c>
      <c r="P39" s="1" t="n">
        <v>913341</v>
      </c>
      <c r="Q39" s="1" t="n">
        <v>5068888</v>
      </c>
      <c r="R39" s="1" t="n">
        <v>1216533</v>
      </c>
      <c r="S39" s="1" t="n">
        <v>3852355</v>
      </c>
      <c r="T39" s="1" t="n">
        <v>0.1988</v>
      </c>
    </row>
    <row r="40" customFormat="false" ht="15" hidden="false" customHeight="false" outlineLevel="0" collapsed="false">
      <c r="A40" s="1" t="s">
        <v>90</v>
      </c>
      <c r="B40" s="1" t="n">
        <v>19498926</v>
      </c>
      <c r="C40" s="1" t="n">
        <v>6930759</v>
      </c>
      <c r="D40" s="1" t="n">
        <v>12568167</v>
      </c>
      <c r="E40" s="1" t="n">
        <v>1387218</v>
      </c>
      <c r="F40" s="1" t="n">
        <v>827502</v>
      </c>
      <c r="G40" s="1" t="n">
        <v>1046790</v>
      </c>
      <c r="H40" s="1" t="n">
        <v>576989</v>
      </c>
      <c r="I40" s="1" t="n">
        <v>962350</v>
      </c>
      <c r="J40" s="1" t="n">
        <v>352108</v>
      </c>
      <c r="K40" s="1" t="n">
        <v>5152957</v>
      </c>
      <c r="L40" s="1" t="n">
        <v>7415210</v>
      </c>
      <c r="M40" s="1" t="n">
        <v>0.3803</v>
      </c>
      <c r="N40" s="1" t="n">
        <v>1772904</v>
      </c>
      <c r="O40" s="1" t="n">
        <v>5642306</v>
      </c>
      <c r="P40" s="1" t="n">
        <v>984781</v>
      </c>
      <c r="Q40" s="1" t="n">
        <v>4657525</v>
      </c>
      <c r="R40" s="1" t="n">
        <v>1117806</v>
      </c>
      <c r="S40" s="1" t="n">
        <v>3539719</v>
      </c>
      <c r="T40" s="1" t="n">
        <v>0.1815</v>
      </c>
    </row>
    <row r="41" customFormat="false" ht="15" hidden="false" customHeight="false" outlineLevel="0" collapsed="false">
      <c r="A41" s="1" t="s">
        <v>91</v>
      </c>
      <c r="B41" s="1" t="n">
        <v>19770784</v>
      </c>
      <c r="C41" s="1" t="n">
        <v>6964620</v>
      </c>
      <c r="D41" s="1" t="n">
        <v>12806164</v>
      </c>
      <c r="E41" s="1" t="n">
        <v>1401789</v>
      </c>
      <c r="F41" s="1" t="n">
        <v>811609</v>
      </c>
      <c r="G41" s="1" t="n">
        <v>1084600</v>
      </c>
      <c r="H41" s="1" t="n">
        <v>592760</v>
      </c>
      <c r="I41" s="1" t="n">
        <v>968550</v>
      </c>
      <c r="J41" s="1" t="n">
        <v>357872</v>
      </c>
      <c r="K41" s="1" t="n">
        <v>5217180</v>
      </c>
      <c r="L41" s="1" t="n">
        <v>7588984</v>
      </c>
      <c r="M41" s="1" t="n">
        <v>0.3838</v>
      </c>
      <c r="N41" s="1" t="n">
        <v>1498662</v>
      </c>
      <c r="O41" s="1" t="n">
        <v>6090322</v>
      </c>
      <c r="P41" s="1" t="n">
        <v>966269</v>
      </c>
      <c r="Q41" s="1" t="n">
        <v>5124053</v>
      </c>
      <c r="R41" s="1" t="n">
        <v>1229773</v>
      </c>
      <c r="S41" s="1" t="n">
        <v>3894280</v>
      </c>
      <c r="T41" s="1" t="n">
        <v>0.197</v>
      </c>
    </row>
    <row r="42" customFormat="false" ht="15" hidden="false" customHeight="false" outlineLevel="0" collapsed="false">
      <c r="A42" s="1" t="s">
        <v>92</v>
      </c>
      <c r="B42" s="1" t="n">
        <v>19916119</v>
      </c>
      <c r="C42" s="1" t="n">
        <v>6890021</v>
      </c>
      <c r="D42" s="1" t="n">
        <v>13026098</v>
      </c>
      <c r="E42" s="1" t="n">
        <v>1409459</v>
      </c>
      <c r="F42" s="1" t="n">
        <v>833602</v>
      </c>
      <c r="G42" s="1" t="n">
        <v>1094499</v>
      </c>
      <c r="H42" s="1" t="n">
        <v>569889</v>
      </c>
      <c r="I42" s="1" t="n">
        <v>960158</v>
      </c>
      <c r="J42" s="1" t="n">
        <v>359030</v>
      </c>
      <c r="K42" s="1" t="n">
        <v>5226637</v>
      </c>
      <c r="L42" s="1" t="n">
        <v>7799461</v>
      </c>
      <c r="M42" s="1" t="n">
        <v>0.3916</v>
      </c>
      <c r="N42" s="1" t="n">
        <v>1609065</v>
      </c>
      <c r="O42" s="1" t="n">
        <v>6190396</v>
      </c>
      <c r="P42" s="1" t="n">
        <v>929062</v>
      </c>
      <c r="Q42" s="1" t="n">
        <v>5261335</v>
      </c>
      <c r="R42" s="1" t="n">
        <v>1262720</v>
      </c>
      <c r="S42" s="1" t="n">
        <v>3998614</v>
      </c>
      <c r="T42" s="1" t="n">
        <v>0.2008</v>
      </c>
    </row>
    <row r="43" customFormat="false" ht="15" hidden="false" customHeight="false" outlineLevel="0" collapsed="false">
      <c r="A43" s="1" t="s">
        <v>93</v>
      </c>
      <c r="B43" s="1" t="n">
        <v>20080927</v>
      </c>
      <c r="C43" s="1" t="n">
        <v>7057931</v>
      </c>
      <c r="D43" s="1" t="n">
        <v>13022996</v>
      </c>
      <c r="E43" s="1" t="n">
        <v>1459223</v>
      </c>
      <c r="F43" s="1" t="n">
        <v>817296</v>
      </c>
      <c r="G43" s="1" t="n">
        <v>1131972</v>
      </c>
      <c r="H43" s="1" t="n">
        <v>593978</v>
      </c>
      <c r="I43" s="1" t="n">
        <v>979809</v>
      </c>
      <c r="J43" s="1" t="n">
        <v>354551</v>
      </c>
      <c r="K43" s="1" t="n">
        <v>5336828</v>
      </c>
      <c r="L43" s="1" t="n">
        <v>7686168</v>
      </c>
      <c r="M43" s="1" t="n">
        <v>0.3828</v>
      </c>
      <c r="N43" s="1" t="n">
        <v>1727767</v>
      </c>
      <c r="O43" s="1" t="n">
        <v>5958401</v>
      </c>
      <c r="P43" s="1" t="n">
        <v>896845</v>
      </c>
      <c r="Q43" s="1" t="n">
        <v>5061556</v>
      </c>
      <c r="R43" s="1" t="n">
        <v>1214773</v>
      </c>
      <c r="S43" s="1" t="n">
        <v>3846782</v>
      </c>
      <c r="T43" s="1" t="n">
        <v>0.1916</v>
      </c>
    </row>
    <row r="44" customFormat="false" ht="15" hidden="false" customHeight="false" outlineLevel="0" collapsed="false">
      <c r="A44" s="1" t="s">
        <v>94</v>
      </c>
      <c r="B44" s="1" t="n">
        <v>20249054</v>
      </c>
      <c r="C44" s="1" t="n">
        <v>7002580</v>
      </c>
      <c r="D44" s="1" t="n">
        <v>13246474</v>
      </c>
      <c r="E44" s="1" t="n">
        <v>1441216</v>
      </c>
      <c r="F44" s="1" t="n">
        <v>818379</v>
      </c>
      <c r="G44" s="1" t="n">
        <v>1085930</v>
      </c>
      <c r="H44" s="1" t="n">
        <v>589273</v>
      </c>
      <c r="I44" s="1" t="n">
        <v>985024</v>
      </c>
      <c r="J44" s="1" t="n">
        <v>377617</v>
      </c>
      <c r="K44" s="1" t="n">
        <v>5297438</v>
      </c>
      <c r="L44" s="1" t="n">
        <v>7949035</v>
      </c>
      <c r="M44" s="1" t="n">
        <v>0.3926</v>
      </c>
      <c r="N44" s="1" t="n">
        <v>1715178</v>
      </c>
      <c r="O44" s="1" t="n">
        <v>6233857</v>
      </c>
      <c r="P44" s="1" t="n">
        <v>873871</v>
      </c>
      <c r="Q44" s="1" t="n">
        <v>5359986</v>
      </c>
      <c r="R44" s="1" t="n">
        <v>1286397</v>
      </c>
      <c r="S44" s="1" t="n">
        <v>4073590</v>
      </c>
      <c r="T44" s="1" t="n">
        <v>0.2012</v>
      </c>
    </row>
    <row r="45" customFormat="false" ht="15" hidden="false" customHeight="false" outlineLevel="0" collapsed="false">
      <c r="A45" s="1" t="s">
        <v>95</v>
      </c>
      <c r="B45" s="1" t="n">
        <v>20376618</v>
      </c>
      <c r="C45" s="1" t="n">
        <v>7088016</v>
      </c>
      <c r="D45" s="1" t="n">
        <v>13288602</v>
      </c>
      <c r="E45" s="1" t="n">
        <v>1404425</v>
      </c>
      <c r="F45" s="1" t="n">
        <v>864330</v>
      </c>
      <c r="G45" s="1" t="n">
        <v>1163556</v>
      </c>
      <c r="H45" s="1" t="n">
        <v>610717</v>
      </c>
      <c r="I45" s="1" t="n">
        <v>993614</v>
      </c>
      <c r="J45" s="1" t="n">
        <v>366190</v>
      </c>
      <c r="K45" s="1" t="n">
        <v>5402831</v>
      </c>
      <c r="L45" s="1" t="n">
        <v>7885771</v>
      </c>
      <c r="M45" s="1" t="n">
        <v>0.387</v>
      </c>
      <c r="N45" s="1" t="n">
        <v>1863020</v>
      </c>
      <c r="O45" s="1" t="n">
        <v>6022751</v>
      </c>
      <c r="P45" s="1" t="n">
        <v>915233</v>
      </c>
      <c r="Q45" s="1" t="n">
        <v>5107517</v>
      </c>
      <c r="R45" s="1" t="n">
        <v>1225804</v>
      </c>
      <c r="S45" s="1" t="n">
        <v>3881713</v>
      </c>
      <c r="T45" s="1" t="n">
        <v>0.1905</v>
      </c>
    </row>
    <row r="46" customFormat="false" ht="15" hidden="false" customHeight="false" outlineLevel="0" collapsed="false">
      <c r="A46" s="1" t="s">
        <v>96</v>
      </c>
      <c r="B46" s="1" t="n">
        <v>20645419</v>
      </c>
      <c r="C46" s="1" t="n">
        <v>7287908</v>
      </c>
      <c r="D46" s="1" t="n">
        <v>13357511</v>
      </c>
      <c r="E46" s="1" t="n">
        <v>1489075</v>
      </c>
      <c r="F46" s="1" t="n">
        <v>878224</v>
      </c>
      <c r="G46" s="1" t="n">
        <v>1168686</v>
      </c>
      <c r="H46" s="1" t="n">
        <v>608564</v>
      </c>
      <c r="I46" s="1" t="n">
        <v>1008922</v>
      </c>
      <c r="J46" s="1" t="n">
        <v>357570</v>
      </c>
      <c r="K46" s="1" t="n">
        <v>5511041</v>
      </c>
      <c r="L46" s="1" t="n">
        <v>7846470</v>
      </c>
      <c r="M46" s="1" t="n">
        <v>0.3801</v>
      </c>
      <c r="N46" s="1" t="n">
        <v>1840468</v>
      </c>
      <c r="O46" s="1" t="n">
        <v>6006002</v>
      </c>
      <c r="P46" s="1" t="n">
        <v>840374</v>
      </c>
      <c r="Q46" s="1" t="n">
        <v>5165628</v>
      </c>
      <c r="R46" s="1" t="n">
        <v>1239751</v>
      </c>
      <c r="S46" s="1" t="n">
        <v>3925877</v>
      </c>
      <c r="T46" s="1" t="n">
        <v>0.1902</v>
      </c>
    </row>
    <row r="47" customFormat="false" ht="15" hidden="false" customHeight="false" outlineLevel="0" collapsed="false">
      <c r="A47" s="1" t="s">
        <v>97</v>
      </c>
      <c r="B47" s="1" t="n">
        <v>20737554</v>
      </c>
      <c r="C47" s="1" t="n">
        <v>7268420</v>
      </c>
      <c r="D47" s="1" t="n">
        <v>13469134</v>
      </c>
      <c r="E47" s="1" t="n">
        <v>1448798</v>
      </c>
      <c r="F47" s="1" t="n">
        <v>811625</v>
      </c>
      <c r="G47" s="1" t="n">
        <v>1040983</v>
      </c>
      <c r="H47" s="1" t="n">
        <v>622660</v>
      </c>
      <c r="I47" s="1" t="n">
        <v>1005396</v>
      </c>
      <c r="J47" s="1" t="n">
        <v>366223</v>
      </c>
      <c r="K47" s="1" t="n">
        <v>5295685</v>
      </c>
      <c r="L47" s="1" t="n">
        <v>8173449</v>
      </c>
      <c r="M47" s="1" t="n">
        <v>0.3941</v>
      </c>
      <c r="N47" s="1" t="n">
        <v>1903034</v>
      </c>
      <c r="O47" s="1" t="n">
        <v>6270415</v>
      </c>
      <c r="P47" s="1" t="n">
        <v>873731</v>
      </c>
      <c r="Q47" s="1" t="n">
        <v>5396684</v>
      </c>
      <c r="R47" s="1" t="n">
        <v>1295204</v>
      </c>
      <c r="S47" s="1" t="n">
        <v>4101480</v>
      </c>
      <c r="T47" s="1" t="n">
        <v>0.1978</v>
      </c>
    </row>
    <row r="48" customFormat="false" ht="15" hidden="false" customHeight="false" outlineLevel="0" collapsed="false">
      <c r="A48" s="1" t="s">
        <v>98</v>
      </c>
      <c r="B48" s="1" t="n">
        <v>21147805</v>
      </c>
      <c r="C48" s="1" t="n">
        <v>7456447</v>
      </c>
      <c r="D48" s="1" t="n">
        <v>13691358</v>
      </c>
      <c r="E48" s="1" t="n">
        <v>1442097</v>
      </c>
      <c r="F48" s="1" t="n">
        <v>837609</v>
      </c>
      <c r="G48" s="1" t="n">
        <v>1124909</v>
      </c>
      <c r="H48" s="1" t="n">
        <v>644186</v>
      </c>
      <c r="I48" s="1" t="n">
        <v>1034247</v>
      </c>
      <c r="J48" s="1" t="n">
        <v>386959</v>
      </c>
      <c r="K48" s="1" t="n">
        <v>5470007</v>
      </c>
      <c r="L48" s="1" t="n">
        <v>8221351</v>
      </c>
      <c r="M48" s="1" t="n">
        <v>0.3888</v>
      </c>
      <c r="N48" s="1" t="n">
        <v>1796614</v>
      </c>
      <c r="O48" s="1" t="n">
        <v>6424736</v>
      </c>
      <c r="P48" s="1" t="n">
        <v>907686</v>
      </c>
      <c r="Q48" s="1" t="n">
        <v>5517050</v>
      </c>
      <c r="R48" s="1" t="n">
        <v>1324092</v>
      </c>
      <c r="S48" s="1" t="n">
        <v>4192958</v>
      </c>
      <c r="T48" s="1" t="n">
        <v>0.1983</v>
      </c>
    </row>
    <row r="49" customFormat="false" ht="15" hidden="false" customHeight="false" outlineLevel="0" collapsed="false">
      <c r="A49" s="1" t="s">
        <v>99</v>
      </c>
      <c r="B49" s="1" t="n">
        <v>21207300</v>
      </c>
      <c r="C49" s="1" t="n">
        <v>7621894</v>
      </c>
      <c r="D49" s="1" t="n">
        <v>13585406</v>
      </c>
      <c r="E49" s="1" t="n">
        <v>1449600</v>
      </c>
      <c r="F49" s="1" t="n">
        <v>828325</v>
      </c>
      <c r="G49" s="1" t="n">
        <v>1131219</v>
      </c>
      <c r="H49" s="1" t="n">
        <v>617586</v>
      </c>
      <c r="I49" s="1" t="n">
        <v>1023731</v>
      </c>
      <c r="J49" s="1" t="n">
        <v>388470</v>
      </c>
      <c r="K49" s="1" t="n">
        <v>5438931</v>
      </c>
      <c r="L49" s="1" t="n">
        <v>8146475</v>
      </c>
      <c r="M49" s="1" t="n">
        <v>0.3841</v>
      </c>
      <c r="N49" s="1" t="n">
        <v>1865456</v>
      </c>
      <c r="O49" s="1" t="n">
        <v>6281019</v>
      </c>
      <c r="P49" s="1" t="n">
        <v>815346</v>
      </c>
      <c r="Q49" s="1" t="n">
        <v>5465673</v>
      </c>
      <c r="R49" s="1" t="n">
        <v>1311761</v>
      </c>
      <c r="S49" s="1" t="n">
        <v>4153911</v>
      </c>
      <c r="T49" s="1" t="n">
        <v>0.1959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23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6"/>
    <col collapsed="false" customWidth="true" hidden="false" outlineLevel="0" max="8" min="8" style="1" width="21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2" min="11" style="1" width="23"/>
    <col collapsed="false" customWidth="true" hidden="false" outlineLevel="0" max="13" min="13" style="1" width="17"/>
    <col collapsed="false" customWidth="true" hidden="false" outlineLevel="0" max="14" min="14" style="1" width="21"/>
    <col collapsed="false" customWidth="true" hidden="false" outlineLevel="0" max="15" min="15" style="1" width="17"/>
    <col collapsed="false" customWidth="true" hidden="false" outlineLevel="0" max="16" min="16" style="1" width="21"/>
    <col collapsed="false" customWidth="true" hidden="false" outlineLevel="0" max="17" min="17" style="1" width="16"/>
    <col collapsed="false" customWidth="true" hidden="false" outlineLevel="0" max="18" min="18" style="1" width="17"/>
  </cols>
  <sheetData>
    <row r="1" customFormat="false" ht="28.35" hidden="false" customHeight="false" outlineLevel="0" collapsed="false">
      <c r="A1" s="13" t="s">
        <v>45</v>
      </c>
      <c r="B1" s="13" t="s">
        <v>122</v>
      </c>
      <c r="C1" s="13" t="s">
        <v>123</v>
      </c>
      <c r="D1" s="13" t="s">
        <v>124</v>
      </c>
      <c r="E1" s="13" t="s">
        <v>125</v>
      </c>
      <c r="F1" s="13" t="s">
        <v>126</v>
      </c>
      <c r="G1" s="13" t="s">
        <v>127</v>
      </c>
      <c r="H1" s="13" t="s">
        <v>128</v>
      </c>
      <c r="I1" s="13" t="s">
        <v>129</v>
      </c>
      <c r="J1" s="13" t="s">
        <v>130</v>
      </c>
      <c r="K1" s="13" t="s">
        <v>131</v>
      </c>
      <c r="L1" s="13" t="s">
        <v>132</v>
      </c>
      <c r="M1" s="13" t="s">
        <v>133</v>
      </c>
      <c r="N1" s="13" t="s">
        <v>134</v>
      </c>
      <c r="O1" s="13" t="s">
        <v>135</v>
      </c>
      <c r="P1" s="13" t="s">
        <v>136</v>
      </c>
      <c r="Q1" s="13" t="s">
        <v>137</v>
      </c>
      <c r="R1" s="13" t="s">
        <v>138</v>
      </c>
    </row>
    <row r="2" customFormat="false" ht="15" hidden="false" customHeight="false" outlineLevel="0" collapsed="false">
      <c r="A2" s="1" t="s">
        <v>51</v>
      </c>
      <c r="B2" s="1" t="n">
        <v>12000000</v>
      </c>
      <c r="C2" s="1" t="n">
        <v>18836159</v>
      </c>
      <c r="D2" s="1" t="n">
        <v>8000000</v>
      </c>
      <c r="E2" s="1" t="n">
        <v>38836159</v>
      </c>
      <c r="F2" s="1" t="n">
        <v>310000000</v>
      </c>
      <c r="G2" s="1" t="n">
        <v>48000000</v>
      </c>
      <c r="H2" s="1" t="n">
        <v>358000000</v>
      </c>
      <c r="I2" s="1" t="n">
        <v>396836159</v>
      </c>
      <c r="J2" s="1" t="n">
        <v>2056481</v>
      </c>
      <c r="K2" s="1" t="n">
        <v>13520000</v>
      </c>
      <c r="L2" s="1" t="n">
        <v>15576481</v>
      </c>
      <c r="M2" s="1" t="n">
        <v>155480000</v>
      </c>
      <c r="N2" s="1" t="n">
        <v>171056481</v>
      </c>
      <c r="O2" s="1" t="n">
        <v>140000000</v>
      </c>
      <c r="P2" s="1" t="n">
        <v>85779678</v>
      </c>
      <c r="Q2" s="1" t="n">
        <v>225779678</v>
      </c>
      <c r="R2" s="1" t="n">
        <v>0</v>
      </c>
    </row>
    <row r="3" customFormat="false" ht="15" hidden="false" customHeight="false" outlineLevel="0" collapsed="false">
      <c r="A3" s="1" t="s">
        <v>53</v>
      </c>
      <c r="B3" s="1" t="n">
        <v>11308906</v>
      </c>
      <c r="C3" s="1" t="n">
        <v>19030853</v>
      </c>
      <c r="D3" s="1" t="n">
        <v>8000000</v>
      </c>
      <c r="E3" s="1" t="n">
        <v>38339760</v>
      </c>
      <c r="F3" s="1" t="n">
        <v>311880516</v>
      </c>
      <c r="G3" s="1" t="n">
        <v>47862253</v>
      </c>
      <c r="H3" s="1" t="n">
        <v>359742769</v>
      </c>
      <c r="I3" s="1" t="n">
        <v>398082529</v>
      </c>
      <c r="J3" s="1" t="n">
        <v>2251205</v>
      </c>
      <c r="K3" s="1" t="n">
        <v>13455000</v>
      </c>
      <c r="L3" s="1" t="n">
        <v>15706205</v>
      </c>
      <c r="M3" s="1" t="n">
        <v>154732500</v>
      </c>
      <c r="N3" s="1" t="n">
        <v>170438705</v>
      </c>
      <c r="O3" s="1" t="n">
        <v>140000000</v>
      </c>
      <c r="P3" s="1" t="n">
        <v>87643824</v>
      </c>
      <c r="Q3" s="1" t="n">
        <v>227643824</v>
      </c>
      <c r="R3" s="1" t="n">
        <v>0</v>
      </c>
    </row>
    <row r="4" customFormat="false" ht="15" hidden="false" customHeight="false" outlineLevel="0" collapsed="false">
      <c r="A4" s="1" t="s">
        <v>54</v>
      </c>
      <c r="B4" s="1" t="n">
        <v>10931215</v>
      </c>
      <c r="C4" s="1" t="n">
        <v>19480516</v>
      </c>
      <c r="D4" s="1" t="n">
        <v>8000000</v>
      </c>
      <c r="E4" s="1" t="n">
        <v>38411731</v>
      </c>
      <c r="F4" s="1" t="n">
        <v>313286903</v>
      </c>
      <c r="G4" s="1" t="n">
        <v>47719862</v>
      </c>
      <c r="H4" s="1" t="n">
        <v>361006765</v>
      </c>
      <c r="I4" s="1" t="n">
        <v>399418496</v>
      </c>
      <c r="J4" s="1" t="n">
        <v>2466759</v>
      </c>
      <c r="K4" s="1" t="n">
        <v>13390000</v>
      </c>
      <c r="L4" s="1" t="n">
        <v>15856759</v>
      </c>
      <c r="M4" s="1" t="n">
        <v>153985000</v>
      </c>
      <c r="N4" s="1" t="n">
        <v>169841759</v>
      </c>
      <c r="O4" s="1" t="n">
        <v>140000000</v>
      </c>
      <c r="P4" s="1" t="n">
        <v>89576738</v>
      </c>
      <c r="Q4" s="1" t="n">
        <v>229576738</v>
      </c>
      <c r="R4" s="1" t="n">
        <v>0</v>
      </c>
    </row>
    <row r="5" customFormat="false" ht="15" hidden="false" customHeight="false" outlineLevel="0" collapsed="false">
      <c r="A5" s="1" t="s">
        <v>55</v>
      </c>
      <c r="B5" s="1" t="n">
        <v>11618154</v>
      </c>
      <c r="C5" s="1" t="n">
        <v>18325386</v>
      </c>
      <c r="D5" s="1" t="n">
        <v>8000000</v>
      </c>
      <c r="E5" s="1" t="n">
        <v>37943539</v>
      </c>
      <c r="F5" s="1" t="n">
        <v>314632805</v>
      </c>
      <c r="G5" s="1" t="n">
        <v>47580192</v>
      </c>
      <c r="H5" s="1" t="n">
        <v>362212997</v>
      </c>
      <c r="I5" s="1" t="n">
        <v>400156536</v>
      </c>
      <c r="J5" s="1" t="n">
        <v>2079963</v>
      </c>
      <c r="K5" s="1" t="n">
        <v>13325000</v>
      </c>
      <c r="L5" s="1" t="n">
        <v>15404963</v>
      </c>
      <c r="M5" s="1" t="n">
        <v>153237500</v>
      </c>
      <c r="N5" s="1" t="n">
        <v>168642463</v>
      </c>
      <c r="O5" s="1" t="n">
        <v>140000000</v>
      </c>
      <c r="P5" s="1" t="n">
        <v>91514073</v>
      </c>
      <c r="Q5" s="1" t="n">
        <v>231514073</v>
      </c>
      <c r="R5" s="1" t="n">
        <v>0</v>
      </c>
    </row>
    <row r="6" customFormat="false" ht="15" hidden="false" customHeight="false" outlineLevel="0" collapsed="false">
      <c r="A6" s="1" t="s">
        <v>56</v>
      </c>
      <c r="B6" s="1" t="n">
        <v>12443084</v>
      </c>
      <c r="C6" s="1" t="n">
        <v>17765506</v>
      </c>
      <c r="D6" s="1" t="n">
        <v>8000000</v>
      </c>
      <c r="E6" s="1" t="n">
        <v>38208589</v>
      </c>
      <c r="F6" s="1" t="n">
        <v>315917904</v>
      </c>
      <c r="G6" s="1" t="n">
        <v>47436387</v>
      </c>
      <c r="H6" s="1" t="n">
        <v>363354291</v>
      </c>
      <c r="I6" s="1" t="n">
        <v>401562880</v>
      </c>
      <c r="J6" s="1" t="n">
        <v>2290035</v>
      </c>
      <c r="K6" s="1" t="n">
        <v>13260000</v>
      </c>
      <c r="L6" s="1" t="n">
        <v>15550035</v>
      </c>
      <c r="M6" s="1" t="n">
        <v>152490000</v>
      </c>
      <c r="N6" s="1" t="n">
        <v>168040035</v>
      </c>
      <c r="O6" s="1" t="n">
        <v>140000000</v>
      </c>
      <c r="P6" s="1" t="n">
        <v>93522845</v>
      </c>
      <c r="Q6" s="1" t="n">
        <v>233522845</v>
      </c>
      <c r="R6" s="1" t="n">
        <v>0</v>
      </c>
    </row>
    <row r="7" customFormat="false" ht="15" hidden="false" customHeight="false" outlineLevel="0" collapsed="false">
      <c r="A7" s="1" t="s">
        <v>57</v>
      </c>
      <c r="B7" s="1" t="n">
        <v>62647734</v>
      </c>
      <c r="C7" s="1" t="n">
        <v>19510640</v>
      </c>
      <c r="D7" s="1" t="n">
        <v>8000000</v>
      </c>
      <c r="E7" s="1" t="n">
        <v>90158374</v>
      </c>
      <c r="F7" s="1" t="n">
        <v>317190808</v>
      </c>
      <c r="G7" s="1" t="n">
        <v>47306916</v>
      </c>
      <c r="H7" s="1" t="n">
        <v>364497724</v>
      </c>
      <c r="I7" s="1" t="n">
        <v>454656098</v>
      </c>
      <c r="J7" s="1" t="n">
        <v>2401896</v>
      </c>
      <c r="K7" s="1" t="n">
        <v>17355000</v>
      </c>
      <c r="L7" s="1" t="n">
        <v>19756896</v>
      </c>
      <c r="M7" s="1" t="n">
        <v>199582500</v>
      </c>
      <c r="N7" s="1" t="n">
        <v>219339396</v>
      </c>
      <c r="O7" s="1" t="n">
        <v>140000000</v>
      </c>
      <c r="P7" s="1" t="n">
        <v>95316702</v>
      </c>
      <c r="Q7" s="1" t="n">
        <v>235316702</v>
      </c>
      <c r="R7" s="1" t="n">
        <v>0</v>
      </c>
    </row>
    <row r="8" customFormat="false" ht="15" hidden="false" customHeight="false" outlineLevel="0" collapsed="false">
      <c r="A8" s="1" t="s">
        <v>58</v>
      </c>
      <c r="B8" s="1" t="n">
        <v>62417810</v>
      </c>
      <c r="C8" s="1" t="n">
        <v>19212616</v>
      </c>
      <c r="D8" s="1" t="n">
        <v>8000000</v>
      </c>
      <c r="E8" s="1" t="n">
        <v>89630425</v>
      </c>
      <c r="F8" s="1" t="n">
        <v>318249464</v>
      </c>
      <c r="G8" s="1" t="n">
        <v>47170342</v>
      </c>
      <c r="H8" s="1" t="n">
        <v>365419806</v>
      </c>
      <c r="I8" s="1" t="n">
        <v>455050231</v>
      </c>
      <c r="J8" s="1" t="n">
        <v>2335180</v>
      </c>
      <c r="K8" s="1" t="n">
        <v>17240476</v>
      </c>
      <c r="L8" s="1" t="n">
        <v>19575656</v>
      </c>
      <c r="M8" s="1" t="n">
        <v>198265476</v>
      </c>
      <c r="N8" s="1" t="n">
        <v>217841132</v>
      </c>
      <c r="O8" s="1" t="n">
        <v>140000000</v>
      </c>
      <c r="P8" s="1" t="n">
        <v>97209099</v>
      </c>
      <c r="Q8" s="1" t="n">
        <v>237209099</v>
      </c>
      <c r="R8" s="1" t="n">
        <v>0</v>
      </c>
    </row>
    <row r="9" customFormat="false" ht="15" hidden="false" customHeight="false" outlineLevel="0" collapsed="false">
      <c r="A9" s="1" t="s">
        <v>59</v>
      </c>
      <c r="B9" s="1" t="n">
        <v>61694470</v>
      </c>
      <c r="C9" s="1" t="n">
        <v>19957219</v>
      </c>
      <c r="D9" s="1" t="n">
        <v>8000000</v>
      </c>
      <c r="E9" s="1" t="n">
        <v>89651689</v>
      </c>
      <c r="F9" s="1" t="n">
        <v>319176769</v>
      </c>
      <c r="G9" s="1" t="n">
        <v>47031205</v>
      </c>
      <c r="H9" s="1" t="n">
        <v>366207974</v>
      </c>
      <c r="I9" s="1" t="n">
        <v>455859663</v>
      </c>
      <c r="J9" s="1" t="n">
        <v>2735533</v>
      </c>
      <c r="K9" s="1" t="n">
        <v>17125952</v>
      </c>
      <c r="L9" s="1" t="n">
        <v>19861485</v>
      </c>
      <c r="M9" s="1" t="n">
        <v>196948453</v>
      </c>
      <c r="N9" s="1" t="n">
        <v>216809938</v>
      </c>
      <c r="O9" s="1" t="n">
        <v>140000000</v>
      </c>
      <c r="P9" s="1" t="n">
        <v>99049726</v>
      </c>
      <c r="Q9" s="1" t="n">
        <v>239049726</v>
      </c>
      <c r="R9" s="1" t="n">
        <v>0</v>
      </c>
    </row>
    <row r="10" customFormat="false" ht="15" hidden="false" customHeight="false" outlineLevel="0" collapsed="false">
      <c r="A10" s="1" t="s">
        <v>60</v>
      </c>
      <c r="B10" s="1" t="n">
        <v>60852725</v>
      </c>
      <c r="C10" s="1" t="n">
        <v>19089319</v>
      </c>
      <c r="D10" s="1" t="n">
        <v>8000000</v>
      </c>
      <c r="E10" s="1" t="n">
        <v>87942044</v>
      </c>
      <c r="F10" s="1" t="n">
        <v>320923266</v>
      </c>
      <c r="G10" s="1" t="n">
        <v>46892978</v>
      </c>
      <c r="H10" s="1" t="n">
        <v>367816244</v>
      </c>
      <c r="I10" s="1" t="n">
        <v>455758288</v>
      </c>
      <c r="J10" s="1" t="n">
        <v>2213534</v>
      </c>
      <c r="K10" s="1" t="n">
        <v>17011429</v>
      </c>
      <c r="L10" s="1" t="n">
        <v>19224963</v>
      </c>
      <c r="M10" s="1" t="n">
        <v>195631428</v>
      </c>
      <c r="N10" s="1" t="n">
        <v>214856391</v>
      </c>
      <c r="O10" s="1" t="n">
        <v>140000000</v>
      </c>
      <c r="P10" s="1" t="n">
        <v>100901897</v>
      </c>
      <c r="Q10" s="1" t="n">
        <v>240901897</v>
      </c>
      <c r="R10" s="1" t="n">
        <v>0</v>
      </c>
    </row>
    <row r="11" customFormat="false" ht="15" hidden="false" customHeight="false" outlineLevel="0" collapsed="false">
      <c r="A11" s="1" t="s">
        <v>61</v>
      </c>
      <c r="B11" s="1" t="n">
        <v>60760947</v>
      </c>
      <c r="C11" s="1" t="n">
        <v>18946860</v>
      </c>
      <c r="D11" s="1" t="n">
        <v>8000000</v>
      </c>
      <c r="E11" s="1" t="n">
        <v>87707807</v>
      </c>
      <c r="F11" s="1" t="n">
        <v>321761249</v>
      </c>
      <c r="G11" s="1" t="n">
        <v>46737665</v>
      </c>
      <c r="H11" s="1" t="n">
        <v>368498914</v>
      </c>
      <c r="I11" s="1" t="n">
        <v>456206721</v>
      </c>
      <c r="J11" s="1" t="n">
        <v>2298225</v>
      </c>
      <c r="K11" s="1" t="n">
        <v>16896905</v>
      </c>
      <c r="L11" s="1" t="n">
        <v>19195130</v>
      </c>
      <c r="M11" s="1" t="n">
        <v>194314405</v>
      </c>
      <c r="N11" s="1" t="n">
        <v>213509535</v>
      </c>
      <c r="O11" s="1" t="n">
        <v>140000000</v>
      </c>
      <c r="P11" s="1" t="n">
        <v>102697185</v>
      </c>
      <c r="Q11" s="1" t="n">
        <v>242697185</v>
      </c>
      <c r="R11" s="1" t="n">
        <v>0</v>
      </c>
    </row>
    <row r="12" customFormat="false" ht="15" hidden="false" customHeight="false" outlineLevel="0" collapsed="false">
      <c r="A12" s="1" t="s">
        <v>62</v>
      </c>
      <c r="B12" s="1" t="n">
        <v>60150838</v>
      </c>
      <c r="C12" s="1" t="n">
        <v>18943599</v>
      </c>
      <c r="D12" s="1" t="n">
        <v>8000000</v>
      </c>
      <c r="E12" s="1" t="n">
        <v>87094437</v>
      </c>
      <c r="F12" s="1" t="n">
        <v>322897383</v>
      </c>
      <c r="G12" s="1" t="n">
        <v>46572888</v>
      </c>
      <c r="H12" s="1" t="n">
        <v>369470271</v>
      </c>
      <c r="I12" s="1" t="n">
        <v>456564708</v>
      </c>
      <c r="J12" s="1" t="n">
        <v>2347025</v>
      </c>
      <c r="K12" s="1" t="n">
        <v>16782381</v>
      </c>
      <c r="L12" s="1" t="n">
        <v>19129406</v>
      </c>
      <c r="M12" s="1" t="n">
        <v>192997381</v>
      </c>
      <c r="N12" s="1" t="n">
        <v>212126787</v>
      </c>
      <c r="O12" s="1" t="n">
        <v>140000000</v>
      </c>
      <c r="P12" s="1" t="n">
        <v>104437922</v>
      </c>
      <c r="Q12" s="1" t="n">
        <v>244437922</v>
      </c>
      <c r="R12" s="1" t="n">
        <v>0</v>
      </c>
    </row>
    <row r="13" customFormat="false" ht="15" hidden="false" customHeight="false" outlineLevel="0" collapsed="false">
      <c r="A13" s="1" t="s">
        <v>63</v>
      </c>
      <c r="B13" s="1" t="n">
        <v>60635241</v>
      </c>
      <c r="C13" s="1" t="n">
        <v>17952188</v>
      </c>
      <c r="D13" s="1" t="n">
        <v>8000000</v>
      </c>
      <c r="E13" s="1" t="n">
        <v>86587429</v>
      </c>
      <c r="F13" s="1" t="n">
        <v>323777070</v>
      </c>
      <c r="G13" s="1" t="n">
        <v>46433839</v>
      </c>
      <c r="H13" s="1" t="n">
        <v>370210909</v>
      </c>
      <c r="I13" s="1" t="n">
        <v>456798338</v>
      </c>
      <c r="J13" s="1" t="n">
        <v>2228641</v>
      </c>
      <c r="K13" s="1" t="n">
        <v>16667857</v>
      </c>
      <c r="L13" s="1" t="n">
        <v>18896498</v>
      </c>
      <c r="M13" s="1" t="n">
        <v>191680357</v>
      </c>
      <c r="N13" s="1" t="n">
        <v>210576855</v>
      </c>
      <c r="O13" s="1" t="n">
        <v>140000000</v>
      </c>
      <c r="P13" s="1" t="n">
        <v>106221483</v>
      </c>
      <c r="Q13" s="1" t="n">
        <v>246221483</v>
      </c>
      <c r="R13" s="1" t="n">
        <v>0</v>
      </c>
    </row>
    <row r="14" customFormat="false" ht="15" hidden="false" customHeight="false" outlineLevel="0" collapsed="false">
      <c r="A14" s="1" t="s">
        <v>64</v>
      </c>
      <c r="B14" s="1" t="n">
        <v>57865708</v>
      </c>
      <c r="C14" s="1" t="n">
        <v>20041778</v>
      </c>
      <c r="D14" s="1" t="n">
        <v>8000000</v>
      </c>
      <c r="E14" s="1" t="n">
        <v>85907486</v>
      </c>
      <c r="F14" s="1" t="n">
        <v>325297740</v>
      </c>
      <c r="G14" s="1" t="n">
        <v>46288310</v>
      </c>
      <c r="H14" s="1" t="n">
        <v>371586050</v>
      </c>
      <c r="I14" s="1" t="n">
        <v>457493536</v>
      </c>
      <c r="J14" s="1" t="n">
        <v>2533411</v>
      </c>
      <c r="K14" s="1" t="n">
        <v>16553333</v>
      </c>
      <c r="L14" s="1" t="n">
        <v>19086745</v>
      </c>
      <c r="M14" s="1" t="n">
        <v>190363334</v>
      </c>
      <c r="N14" s="1" t="n">
        <v>209450078</v>
      </c>
      <c r="O14" s="1" t="n">
        <v>140000000</v>
      </c>
      <c r="P14" s="1" t="n">
        <v>108043457</v>
      </c>
      <c r="Q14" s="1" t="n">
        <v>248043457</v>
      </c>
      <c r="R14" s="1" t="n">
        <v>0</v>
      </c>
    </row>
    <row r="15" customFormat="false" ht="15" hidden="false" customHeight="false" outlineLevel="0" collapsed="false">
      <c r="A15" s="1" t="s">
        <v>65</v>
      </c>
      <c r="B15" s="1" t="n">
        <v>57728028</v>
      </c>
      <c r="C15" s="1" t="n">
        <v>19403279</v>
      </c>
      <c r="D15" s="1" t="n">
        <v>8000000</v>
      </c>
      <c r="E15" s="1" t="n">
        <v>85131306</v>
      </c>
      <c r="F15" s="1" t="n">
        <v>326469370</v>
      </c>
      <c r="G15" s="1" t="n">
        <v>46140674</v>
      </c>
      <c r="H15" s="1" t="n">
        <v>372610044</v>
      </c>
      <c r="I15" s="1" t="n">
        <v>457741350</v>
      </c>
      <c r="J15" s="1" t="n">
        <v>2284225</v>
      </c>
      <c r="K15" s="1" t="n">
        <v>16438810</v>
      </c>
      <c r="L15" s="1" t="n">
        <v>18723035</v>
      </c>
      <c r="M15" s="1" t="n">
        <v>189046309</v>
      </c>
      <c r="N15" s="1" t="n">
        <v>207769344</v>
      </c>
      <c r="O15" s="1" t="n">
        <v>140000000</v>
      </c>
      <c r="P15" s="1" t="n">
        <v>109972006</v>
      </c>
      <c r="Q15" s="1" t="n">
        <v>249972006</v>
      </c>
      <c r="R15" s="1" t="n">
        <v>0</v>
      </c>
    </row>
    <row r="16" customFormat="false" ht="15" hidden="false" customHeight="false" outlineLevel="0" collapsed="false">
      <c r="A16" s="1" t="s">
        <v>66</v>
      </c>
      <c r="B16" s="1" t="n">
        <v>58357672</v>
      </c>
      <c r="C16" s="1" t="n">
        <v>18782295</v>
      </c>
      <c r="D16" s="1" t="n">
        <v>8000000</v>
      </c>
      <c r="E16" s="1" t="n">
        <v>85139967</v>
      </c>
      <c r="F16" s="1" t="n">
        <v>327357143</v>
      </c>
      <c r="G16" s="1" t="n">
        <v>45993152</v>
      </c>
      <c r="H16" s="1" t="n">
        <v>373350295</v>
      </c>
      <c r="I16" s="1" t="n">
        <v>458490262</v>
      </c>
      <c r="J16" s="1" t="n">
        <v>2635214</v>
      </c>
      <c r="K16" s="1" t="n">
        <v>16324286</v>
      </c>
      <c r="L16" s="1" t="n">
        <v>18959500</v>
      </c>
      <c r="M16" s="1" t="n">
        <v>187729285</v>
      </c>
      <c r="N16" s="1" t="n">
        <v>206688785</v>
      </c>
      <c r="O16" s="1" t="n">
        <v>140000000</v>
      </c>
      <c r="P16" s="1" t="n">
        <v>111801477</v>
      </c>
      <c r="Q16" s="1" t="n">
        <v>251801477</v>
      </c>
      <c r="R16" s="1" t="n">
        <v>0</v>
      </c>
    </row>
    <row r="17" customFormat="false" ht="15" hidden="false" customHeight="false" outlineLevel="0" collapsed="false">
      <c r="A17" s="1" t="s">
        <v>67</v>
      </c>
      <c r="B17" s="1" t="n">
        <v>63742083</v>
      </c>
      <c r="C17" s="1" t="n">
        <v>18739657</v>
      </c>
      <c r="D17" s="1" t="n">
        <v>8000000</v>
      </c>
      <c r="E17" s="1" t="n">
        <v>90481739</v>
      </c>
      <c r="F17" s="1" t="n">
        <v>328327460</v>
      </c>
      <c r="G17" s="1" t="n">
        <v>45852142</v>
      </c>
      <c r="H17" s="1" t="n">
        <v>374179602</v>
      </c>
      <c r="I17" s="1" t="n">
        <v>464661341</v>
      </c>
      <c r="J17" s="1" t="n">
        <v>2362440</v>
      </c>
      <c r="K17" s="1" t="n">
        <v>16686016</v>
      </c>
      <c r="L17" s="1" t="n">
        <v>19048456</v>
      </c>
      <c r="M17" s="1" t="n">
        <v>191889189</v>
      </c>
      <c r="N17" s="1" t="n">
        <v>210937645</v>
      </c>
      <c r="O17" s="1" t="n">
        <v>140000000</v>
      </c>
      <c r="P17" s="1" t="n">
        <v>113723696</v>
      </c>
      <c r="Q17" s="1" t="n">
        <v>253723696</v>
      </c>
      <c r="R17" s="1" t="n">
        <v>0</v>
      </c>
    </row>
    <row r="18" customFormat="false" ht="15" hidden="false" customHeight="false" outlineLevel="0" collapsed="false">
      <c r="A18" s="1" t="s">
        <v>68</v>
      </c>
      <c r="B18" s="1" t="n">
        <v>63153244</v>
      </c>
      <c r="C18" s="1" t="n">
        <v>19579857</v>
      </c>
      <c r="D18" s="1" t="n">
        <v>8000000</v>
      </c>
      <c r="E18" s="1" t="n">
        <v>90733101</v>
      </c>
      <c r="F18" s="1" t="n">
        <v>329766938</v>
      </c>
      <c r="G18" s="1" t="n">
        <v>45708595</v>
      </c>
      <c r="H18" s="1" t="n">
        <v>375475533</v>
      </c>
      <c r="I18" s="1" t="n">
        <v>466208634</v>
      </c>
      <c r="J18" s="1" t="n">
        <v>2541442</v>
      </c>
      <c r="K18" s="1" t="n">
        <v>16638971</v>
      </c>
      <c r="L18" s="1" t="n">
        <v>19180413</v>
      </c>
      <c r="M18" s="1" t="n">
        <v>191348161</v>
      </c>
      <c r="N18" s="1" t="n">
        <v>210528574</v>
      </c>
      <c r="O18" s="1" t="n">
        <v>140000000</v>
      </c>
      <c r="P18" s="1" t="n">
        <v>115680060</v>
      </c>
      <c r="Q18" s="1" t="n">
        <v>255680060</v>
      </c>
      <c r="R18" s="1" t="n">
        <v>0</v>
      </c>
    </row>
    <row r="19" customFormat="false" ht="15" hidden="false" customHeight="false" outlineLevel="0" collapsed="false">
      <c r="A19" s="1" t="s">
        <v>69</v>
      </c>
      <c r="B19" s="1" t="n">
        <v>74236373</v>
      </c>
      <c r="C19" s="1" t="n">
        <v>19660853</v>
      </c>
      <c r="D19" s="1" t="n">
        <v>8000000</v>
      </c>
      <c r="E19" s="1" t="n">
        <v>101897226</v>
      </c>
      <c r="F19" s="1" t="n">
        <v>331298294</v>
      </c>
      <c r="G19" s="1" t="n">
        <v>45565354</v>
      </c>
      <c r="H19" s="1" t="n">
        <v>376863648</v>
      </c>
      <c r="I19" s="1" t="n">
        <v>478760874</v>
      </c>
      <c r="J19" s="1" t="n">
        <v>2738106</v>
      </c>
      <c r="K19" s="1" t="n">
        <v>17476633</v>
      </c>
      <c r="L19" s="1" t="n">
        <v>20214739</v>
      </c>
      <c r="M19" s="1" t="n">
        <v>200981285</v>
      </c>
      <c r="N19" s="1" t="n">
        <v>221196024</v>
      </c>
      <c r="O19" s="1" t="n">
        <v>140000000</v>
      </c>
      <c r="P19" s="1" t="n">
        <v>117564850</v>
      </c>
      <c r="Q19" s="1" t="n">
        <v>257564850</v>
      </c>
      <c r="R19" s="1" t="n">
        <v>0</v>
      </c>
    </row>
    <row r="20" customFormat="false" ht="15" hidden="false" customHeight="false" outlineLevel="0" collapsed="false">
      <c r="A20" s="1" t="s">
        <v>70</v>
      </c>
      <c r="B20" s="1" t="n">
        <v>64912936</v>
      </c>
      <c r="C20" s="1" t="n">
        <v>20997084</v>
      </c>
      <c r="D20" s="1" t="n">
        <v>8000000</v>
      </c>
      <c r="E20" s="1" t="n">
        <v>93910020</v>
      </c>
      <c r="F20" s="1" t="n">
        <v>332655092</v>
      </c>
      <c r="G20" s="1" t="n">
        <v>45421993</v>
      </c>
      <c r="H20" s="1" t="n">
        <v>378077085</v>
      </c>
      <c r="I20" s="1" t="n">
        <v>471987105</v>
      </c>
      <c r="J20" s="1" t="n">
        <v>2139185</v>
      </c>
      <c r="K20" s="1" t="n">
        <v>16828887</v>
      </c>
      <c r="L20" s="1" t="n">
        <v>18968072</v>
      </c>
      <c r="M20" s="1" t="n">
        <v>193532205</v>
      </c>
      <c r="N20" s="1" t="n">
        <v>212500277</v>
      </c>
      <c r="O20" s="1" t="n">
        <v>140000000</v>
      </c>
      <c r="P20" s="1" t="n">
        <v>119486828</v>
      </c>
      <c r="Q20" s="1" t="n">
        <v>259486828</v>
      </c>
      <c r="R20" s="1" t="n">
        <v>0</v>
      </c>
    </row>
    <row r="21" customFormat="false" ht="15" hidden="false" customHeight="false" outlineLevel="0" collapsed="false">
      <c r="A21" s="1" t="s">
        <v>71</v>
      </c>
      <c r="B21" s="1" t="n">
        <v>59498133</v>
      </c>
      <c r="C21" s="1" t="n">
        <v>19925557</v>
      </c>
      <c r="D21" s="1" t="n">
        <v>8000000</v>
      </c>
      <c r="E21" s="1" t="n">
        <v>87423690</v>
      </c>
      <c r="F21" s="1" t="n">
        <v>334040559</v>
      </c>
      <c r="G21" s="1" t="n">
        <v>45288748</v>
      </c>
      <c r="H21" s="1" t="n">
        <v>379329307</v>
      </c>
      <c r="I21" s="1" t="n">
        <v>466752997</v>
      </c>
      <c r="J21" s="1" t="n">
        <v>2446958</v>
      </c>
      <c r="K21" s="1" t="n">
        <v>16218872</v>
      </c>
      <c r="L21" s="1" t="n">
        <v>18665831</v>
      </c>
      <c r="M21" s="1" t="n">
        <v>186517032</v>
      </c>
      <c r="N21" s="1" t="n">
        <v>205182862</v>
      </c>
      <c r="O21" s="1" t="n">
        <v>140000000</v>
      </c>
      <c r="P21" s="1" t="n">
        <v>121570135</v>
      </c>
      <c r="Q21" s="1" t="n">
        <v>261570135</v>
      </c>
      <c r="R21" s="1" t="n">
        <v>0</v>
      </c>
    </row>
    <row r="22" customFormat="false" ht="15" hidden="false" customHeight="false" outlineLevel="0" collapsed="false">
      <c r="A22" s="1" t="s">
        <v>72</v>
      </c>
      <c r="B22" s="1" t="n">
        <v>77680411</v>
      </c>
      <c r="C22" s="1" t="n">
        <v>19643715</v>
      </c>
      <c r="D22" s="1" t="n">
        <v>8000000</v>
      </c>
      <c r="E22" s="1" t="n">
        <v>105324127</v>
      </c>
      <c r="F22" s="1" t="n">
        <v>335254060</v>
      </c>
      <c r="G22" s="1" t="n">
        <v>45140415</v>
      </c>
      <c r="H22" s="1" t="n">
        <v>380394475</v>
      </c>
      <c r="I22" s="1" t="n">
        <v>485718602</v>
      </c>
      <c r="J22" s="1" t="n">
        <v>2692819</v>
      </c>
      <c r="K22" s="1" t="n">
        <v>17563722</v>
      </c>
      <c r="L22" s="1" t="n">
        <v>20256541</v>
      </c>
      <c r="M22" s="1" t="n">
        <v>201982803</v>
      </c>
      <c r="N22" s="1" t="n">
        <v>222239344</v>
      </c>
      <c r="O22" s="1" t="n">
        <v>140000000</v>
      </c>
      <c r="P22" s="1" t="n">
        <v>123479257</v>
      </c>
      <c r="Q22" s="1" t="n">
        <v>263479257</v>
      </c>
      <c r="R22" s="1" t="n">
        <v>0</v>
      </c>
    </row>
    <row r="23" customFormat="false" ht="15" hidden="false" customHeight="false" outlineLevel="0" collapsed="false">
      <c r="A23" s="1" t="s">
        <v>73</v>
      </c>
      <c r="B23" s="1" t="n">
        <v>63197280</v>
      </c>
      <c r="C23" s="1" t="n">
        <v>19947184</v>
      </c>
      <c r="D23" s="1" t="n">
        <v>8000000</v>
      </c>
      <c r="E23" s="1" t="n">
        <v>91144464</v>
      </c>
      <c r="F23" s="1" t="n">
        <v>336832258</v>
      </c>
      <c r="G23" s="1" t="n">
        <v>44997367</v>
      </c>
      <c r="H23" s="1" t="n">
        <v>381829625</v>
      </c>
      <c r="I23" s="1" t="n">
        <v>472974089</v>
      </c>
      <c r="J23" s="1" t="n">
        <v>2557096</v>
      </c>
      <c r="K23" s="1" t="n">
        <v>16390808</v>
      </c>
      <c r="L23" s="1" t="n">
        <v>18947905</v>
      </c>
      <c r="M23" s="1" t="n">
        <v>188494298</v>
      </c>
      <c r="N23" s="1" t="n">
        <v>207442202</v>
      </c>
      <c r="O23" s="1" t="n">
        <v>140000000</v>
      </c>
      <c r="P23" s="1" t="n">
        <v>125531887</v>
      </c>
      <c r="Q23" s="1" t="n">
        <v>265531887</v>
      </c>
      <c r="R23" s="1" t="n">
        <v>0</v>
      </c>
    </row>
    <row r="24" customFormat="false" ht="15" hidden="false" customHeight="false" outlineLevel="0" collapsed="false">
      <c r="A24" s="1" t="s">
        <v>74</v>
      </c>
      <c r="B24" s="1" t="n">
        <v>61569089</v>
      </c>
      <c r="C24" s="1" t="n">
        <v>20032129</v>
      </c>
      <c r="D24" s="1" t="n">
        <v>8000000</v>
      </c>
      <c r="E24" s="1" t="n">
        <v>89601217</v>
      </c>
      <c r="F24" s="1" t="n">
        <v>337568187</v>
      </c>
      <c r="G24" s="1" t="n">
        <v>44850883</v>
      </c>
      <c r="H24" s="1" t="n">
        <v>382419070</v>
      </c>
      <c r="I24" s="1" t="n">
        <v>472020287</v>
      </c>
      <c r="J24" s="1" t="n">
        <v>2815032</v>
      </c>
      <c r="K24" s="1" t="n">
        <v>16133185</v>
      </c>
      <c r="L24" s="1" t="n">
        <v>18948217</v>
      </c>
      <c r="M24" s="1" t="n">
        <v>185531624</v>
      </c>
      <c r="N24" s="1" t="n">
        <v>204479841</v>
      </c>
      <c r="O24" s="1" t="n">
        <v>140000000</v>
      </c>
      <c r="P24" s="1" t="n">
        <v>127540446</v>
      </c>
      <c r="Q24" s="1" t="n">
        <v>267540446</v>
      </c>
      <c r="R24" s="1" t="n">
        <v>0</v>
      </c>
    </row>
    <row r="25" customFormat="false" ht="15" hidden="false" customHeight="false" outlineLevel="0" collapsed="false">
      <c r="A25" s="1" t="s">
        <v>75</v>
      </c>
      <c r="B25" s="1" t="n">
        <v>57682338</v>
      </c>
      <c r="C25" s="1" t="n">
        <v>20443736</v>
      </c>
      <c r="D25" s="1" t="n">
        <v>8000000</v>
      </c>
      <c r="E25" s="1" t="n">
        <v>86126074</v>
      </c>
      <c r="F25" s="1" t="n">
        <v>338831288</v>
      </c>
      <c r="G25" s="1" t="n">
        <v>44690001</v>
      </c>
      <c r="H25" s="1" t="n">
        <v>383521289</v>
      </c>
      <c r="I25" s="1" t="n">
        <v>469647363</v>
      </c>
      <c r="J25" s="1" t="n">
        <v>2234952</v>
      </c>
      <c r="K25" s="1" t="n">
        <v>15842680</v>
      </c>
      <c r="L25" s="1" t="n">
        <v>18077633</v>
      </c>
      <c r="M25" s="1" t="n">
        <v>182190826</v>
      </c>
      <c r="N25" s="1" t="n">
        <v>200268458</v>
      </c>
      <c r="O25" s="1" t="n">
        <v>140000000</v>
      </c>
      <c r="P25" s="1" t="n">
        <v>129378904</v>
      </c>
      <c r="Q25" s="1" t="n">
        <v>269378904</v>
      </c>
      <c r="R25" s="1" t="n">
        <v>0</v>
      </c>
    </row>
    <row r="26" customFormat="false" ht="15" hidden="false" customHeight="false" outlineLevel="0" collapsed="false">
      <c r="A26" s="1" t="s">
        <v>76</v>
      </c>
      <c r="B26" s="1" t="n">
        <v>67707562</v>
      </c>
      <c r="C26" s="1" t="n">
        <v>18790700</v>
      </c>
      <c r="D26" s="1" t="n">
        <v>8000000</v>
      </c>
      <c r="E26" s="1" t="n">
        <v>94498263</v>
      </c>
      <c r="F26" s="1" t="n">
        <v>339771641</v>
      </c>
      <c r="G26" s="1" t="n">
        <v>44541847</v>
      </c>
      <c r="H26" s="1" t="n">
        <v>384313488</v>
      </c>
      <c r="I26" s="1" t="n">
        <v>478811751</v>
      </c>
      <c r="J26" s="1" t="n">
        <v>2461068</v>
      </c>
      <c r="K26" s="1" t="n">
        <v>16402355</v>
      </c>
      <c r="L26" s="1" t="n">
        <v>18863423</v>
      </c>
      <c r="M26" s="1" t="n">
        <v>188627082</v>
      </c>
      <c r="N26" s="1" t="n">
        <v>207490505</v>
      </c>
      <c r="O26" s="1" t="n">
        <v>140000000</v>
      </c>
      <c r="P26" s="1" t="n">
        <v>131321246</v>
      </c>
      <c r="Q26" s="1" t="n">
        <v>271321246</v>
      </c>
      <c r="R26" s="1" t="n">
        <v>0</v>
      </c>
    </row>
    <row r="27" customFormat="false" ht="15" hidden="false" customHeight="false" outlineLevel="0" collapsed="false">
      <c r="A27" s="1" t="s">
        <v>77</v>
      </c>
      <c r="B27" s="1" t="n">
        <v>69675867</v>
      </c>
      <c r="C27" s="1" t="n">
        <v>19619674</v>
      </c>
      <c r="D27" s="1" t="n">
        <v>8000000</v>
      </c>
      <c r="E27" s="1" t="n">
        <v>97295541</v>
      </c>
      <c r="F27" s="1" t="n">
        <v>340591245</v>
      </c>
      <c r="G27" s="1" t="n">
        <v>44409483</v>
      </c>
      <c r="H27" s="1" t="n">
        <v>385000728</v>
      </c>
      <c r="I27" s="1" t="n">
        <v>482296269</v>
      </c>
      <c r="J27" s="1" t="n">
        <v>2423582</v>
      </c>
      <c r="K27" s="1" t="n">
        <v>16508061</v>
      </c>
      <c r="L27" s="1" t="n">
        <v>18931643</v>
      </c>
      <c r="M27" s="1" t="n">
        <v>189842704</v>
      </c>
      <c r="N27" s="1" t="n">
        <v>208774347</v>
      </c>
      <c r="O27" s="1" t="n">
        <v>140000000</v>
      </c>
      <c r="P27" s="1" t="n">
        <v>133521922</v>
      </c>
      <c r="Q27" s="1" t="n">
        <v>273521922</v>
      </c>
      <c r="R27" s="1" t="n">
        <v>0</v>
      </c>
    </row>
    <row r="28" customFormat="false" ht="15" hidden="false" customHeight="false" outlineLevel="0" collapsed="false">
      <c r="A28" s="1" t="s">
        <v>78</v>
      </c>
      <c r="B28" s="1" t="n">
        <v>63706378</v>
      </c>
      <c r="C28" s="1" t="n">
        <v>20400146</v>
      </c>
      <c r="D28" s="1" t="n">
        <v>8000000</v>
      </c>
      <c r="E28" s="1" t="n">
        <v>92106524</v>
      </c>
      <c r="F28" s="1" t="n">
        <v>341519983</v>
      </c>
      <c r="G28" s="1" t="n">
        <v>44255871</v>
      </c>
      <c r="H28" s="1" t="n">
        <v>385775854</v>
      </c>
      <c r="I28" s="1" t="n">
        <v>477882378</v>
      </c>
      <c r="J28" s="1" t="n">
        <v>2442968</v>
      </c>
      <c r="K28" s="1" t="n">
        <v>15989564</v>
      </c>
      <c r="L28" s="1" t="n">
        <v>18432532</v>
      </c>
      <c r="M28" s="1" t="n">
        <v>183879987</v>
      </c>
      <c r="N28" s="1" t="n">
        <v>202312519</v>
      </c>
      <c r="O28" s="1" t="n">
        <v>140000000</v>
      </c>
      <c r="P28" s="1" t="n">
        <v>135569859</v>
      </c>
      <c r="Q28" s="1" t="n">
        <v>275569859</v>
      </c>
      <c r="R28" s="1" t="n">
        <v>0</v>
      </c>
    </row>
    <row r="29" customFormat="false" ht="15" hidden="false" customHeight="false" outlineLevel="0" collapsed="false">
      <c r="A29" s="1" t="s">
        <v>79</v>
      </c>
      <c r="B29" s="1" t="n">
        <v>65128267</v>
      </c>
      <c r="C29" s="1" t="n">
        <v>20798450</v>
      </c>
      <c r="D29" s="1" t="n">
        <v>8000000</v>
      </c>
      <c r="E29" s="1" t="n">
        <v>93926717</v>
      </c>
      <c r="F29" s="1" t="n">
        <v>342635843</v>
      </c>
      <c r="G29" s="1" t="n">
        <v>44104483</v>
      </c>
      <c r="H29" s="1" t="n">
        <v>386740326</v>
      </c>
      <c r="I29" s="1" t="n">
        <v>480667043</v>
      </c>
      <c r="J29" s="1" t="n">
        <v>2735900</v>
      </c>
      <c r="K29" s="1" t="n">
        <v>16017360</v>
      </c>
      <c r="L29" s="1" t="n">
        <v>18753260</v>
      </c>
      <c r="M29" s="1" t="n">
        <v>184199643</v>
      </c>
      <c r="N29" s="1" t="n">
        <v>202952903</v>
      </c>
      <c r="O29" s="1" t="n">
        <v>140000000</v>
      </c>
      <c r="P29" s="1" t="n">
        <v>137714140</v>
      </c>
      <c r="Q29" s="1" t="n">
        <v>277714140</v>
      </c>
      <c r="R29" s="1" t="n">
        <v>0</v>
      </c>
    </row>
    <row r="30" customFormat="false" ht="15" hidden="false" customHeight="false" outlineLevel="0" collapsed="false">
      <c r="A30" s="1" t="s">
        <v>80</v>
      </c>
      <c r="B30" s="1" t="n">
        <v>68619464</v>
      </c>
      <c r="C30" s="1" t="n">
        <v>21059254</v>
      </c>
      <c r="D30" s="1" t="n">
        <v>8000000</v>
      </c>
      <c r="E30" s="1" t="n">
        <v>97678717</v>
      </c>
      <c r="F30" s="1" t="n">
        <v>342873484</v>
      </c>
      <c r="G30" s="1" t="n">
        <v>43943750</v>
      </c>
      <c r="H30" s="1" t="n">
        <v>386817234</v>
      </c>
      <c r="I30" s="1" t="n">
        <v>484495951</v>
      </c>
      <c r="J30" s="1" t="n">
        <v>2931543</v>
      </c>
      <c r="K30" s="1" t="n">
        <v>16149045</v>
      </c>
      <c r="L30" s="1" t="n">
        <v>19080588</v>
      </c>
      <c r="M30" s="1" t="n">
        <v>185714014</v>
      </c>
      <c r="N30" s="1" t="n">
        <v>204794602</v>
      </c>
      <c r="O30" s="1" t="n">
        <v>140000000</v>
      </c>
      <c r="P30" s="1" t="n">
        <v>139701349</v>
      </c>
      <c r="Q30" s="1" t="n">
        <v>279701349</v>
      </c>
      <c r="R30" s="1" t="n">
        <v>0</v>
      </c>
    </row>
    <row r="31" customFormat="false" ht="15" hidden="false" customHeight="false" outlineLevel="0" collapsed="false">
      <c r="A31" s="1" t="s">
        <v>81</v>
      </c>
      <c r="B31" s="1" t="n">
        <v>59709704</v>
      </c>
      <c r="C31" s="1" t="n">
        <v>20767163</v>
      </c>
      <c r="D31" s="1" t="n">
        <v>8000000</v>
      </c>
      <c r="E31" s="1" t="n">
        <v>88476866</v>
      </c>
      <c r="F31" s="1" t="n">
        <v>344732822</v>
      </c>
      <c r="G31" s="1" t="n">
        <v>43781336</v>
      </c>
      <c r="H31" s="1" t="n">
        <v>388514158</v>
      </c>
      <c r="I31" s="1" t="n">
        <v>476991024</v>
      </c>
      <c r="J31" s="1" t="n">
        <v>2991088</v>
      </c>
      <c r="K31" s="1" t="n">
        <v>15375158</v>
      </c>
      <c r="L31" s="1" t="n">
        <v>18366246</v>
      </c>
      <c r="M31" s="1" t="n">
        <v>176814313</v>
      </c>
      <c r="N31" s="1" t="n">
        <v>195180559</v>
      </c>
      <c r="O31" s="1" t="n">
        <v>140000000</v>
      </c>
      <c r="P31" s="1" t="n">
        <v>141810465</v>
      </c>
      <c r="Q31" s="1" t="n">
        <v>281810465</v>
      </c>
      <c r="R31" s="1" t="n">
        <v>0</v>
      </c>
    </row>
    <row r="32" customFormat="false" ht="15" hidden="false" customHeight="false" outlineLevel="0" collapsed="false">
      <c r="A32" s="1" t="s">
        <v>82</v>
      </c>
      <c r="B32" s="1" t="n">
        <v>63263321</v>
      </c>
      <c r="C32" s="1" t="n">
        <v>20384013</v>
      </c>
      <c r="D32" s="1" t="n">
        <v>8000000</v>
      </c>
      <c r="E32" s="1" t="n">
        <v>91647334</v>
      </c>
      <c r="F32" s="1" t="n">
        <v>346712821</v>
      </c>
      <c r="G32" s="1" t="n">
        <v>43634784</v>
      </c>
      <c r="H32" s="1" t="n">
        <v>390347605</v>
      </c>
      <c r="I32" s="1" t="n">
        <v>481994939</v>
      </c>
      <c r="J32" s="1" t="n">
        <v>2392151</v>
      </c>
      <c r="K32" s="1" t="n">
        <v>15654898</v>
      </c>
      <c r="L32" s="1" t="n">
        <v>18047049</v>
      </c>
      <c r="M32" s="1" t="n">
        <v>180031328</v>
      </c>
      <c r="N32" s="1" t="n">
        <v>198078377</v>
      </c>
      <c r="O32" s="1" t="n">
        <v>140000000</v>
      </c>
      <c r="P32" s="1" t="n">
        <v>143916562</v>
      </c>
      <c r="Q32" s="1" t="n">
        <v>283916562</v>
      </c>
      <c r="R32" s="1" t="n">
        <v>0</v>
      </c>
    </row>
    <row r="33" customFormat="false" ht="15" hidden="false" customHeight="false" outlineLevel="0" collapsed="false">
      <c r="A33" s="1" t="s">
        <v>83</v>
      </c>
      <c r="B33" s="1" t="n">
        <v>72793636</v>
      </c>
      <c r="C33" s="1" t="n">
        <v>20399763</v>
      </c>
      <c r="D33" s="1" t="n">
        <v>8000000</v>
      </c>
      <c r="E33" s="1" t="n">
        <v>101193399</v>
      </c>
      <c r="F33" s="1" t="n">
        <v>348067264</v>
      </c>
      <c r="G33" s="1" t="n">
        <v>43481357</v>
      </c>
      <c r="H33" s="1" t="n">
        <v>391548621</v>
      </c>
      <c r="I33" s="1" t="n">
        <v>492742020</v>
      </c>
      <c r="J33" s="1" t="n">
        <v>2380734</v>
      </c>
      <c r="K33" s="1" t="n">
        <v>16347923</v>
      </c>
      <c r="L33" s="1" t="n">
        <v>18728657</v>
      </c>
      <c r="M33" s="1" t="n">
        <v>188001112</v>
      </c>
      <c r="N33" s="1" t="n">
        <v>206729769</v>
      </c>
      <c r="O33" s="1" t="n">
        <v>140000000</v>
      </c>
      <c r="P33" s="1" t="n">
        <v>146012251</v>
      </c>
      <c r="Q33" s="1" t="n">
        <v>286012251</v>
      </c>
      <c r="R33" s="1" t="n">
        <v>0</v>
      </c>
    </row>
    <row r="34" customFormat="false" ht="15" hidden="false" customHeight="false" outlineLevel="0" collapsed="false">
      <c r="A34" s="1" t="s">
        <v>84</v>
      </c>
      <c r="B34" s="1" t="n">
        <v>55292273</v>
      </c>
      <c r="C34" s="1" t="n">
        <v>19821004</v>
      </c>
      <c r="D34" s="1" t="n">
        <v>8000000</v>
      </c>
      <c r="E34" s="1" t="n">
        <v>83113277</v>
      </c>
      <c r="F34" s="1" t="n">
        <v>349098562</v>
      </c>
      <c r="G34" s="1" t="n">
        <v>43323532</v>
      </c>
      <c r="H34" s="1" t="n">
        <v>392422094</v>
      </c>
      <c r="I34" s="1" t="n">
        <v>475535371</v>
      </c>
      <c r="J34" s="1" t="n">
        <v>2844687</v>
      </c>
      <c r="K34" s="1" t="n">
        <v>14751104</v>
      </c>
      <c r="L34" s="1" t="n">
        <v>17595791</v>
      </c>
      <c r="M34" s="1" t="n">
        <v>169637693</v>
      </c>
      <c r="N34" s="1" t="n">
        <v>187233484</v>
      </c>
      <c r="O34" s="1" t="n">
        <v>140000000</v>
      </c>
      <c r="P34" s="1" t="n">
        <v>148301887</v>
      </c>
      <c r="Q34" s="1" t="n">
        <v>288301887</v>
      </c>
      <c r="R34" s="1" t="n">
        <v>0</v>
      </c>
    </row>
    <row r="35" customFormat="false" ht="15" hidden="false" customHeight="false" outlineLevel="0" collapsed="false">
      <c r="A35" s="1" t="s">
        <v>85</v>
      </c>
      <c r="B35" s="1" t="n">
        <v>60521713</v>
      </c>
      <c r="C35" s="1" t="n">
        <v>21629044</v>
      </c>
      <c r="D35" s="1" t="n">
        <v>8000000</v>
      </c>
      <c r="E35" s="1" t="n">
        <v>90150758</v>
      </c>
      <c r="F35" s="1" t="n">
        <v>350035619</v>
      </c>
      <c r="G35" s="1" t="n">
        <v>43166296</v>
      </c>
      <c r="H35" s="1" t="n">
        <v>393201915</v>
      </c>
      <c r="I35" s="1" t="n">
        <v>483352673</v>
      </c>
      <c r="J35" s="1" t="n">
        <v>2960502</v>
      </c>
      <c r="K35" s="1" t="n">
        <v>15181990</v>
      </c>
      <c r="L35" s="1" t="n">
        <v>18142492</v>
      </c>
      <c r="M35" s="1" t="n">
        <v>174592884</v>
      </c>
      <c r="N35" s="1" t="n">
        <v>192735376</v>
      </c>
      <c r="O35" s="1" t="n">
        <v>140000000</v>
      </c>
      <c r="P35" s="1" t="n">
        <v>150617296</v>
      </c>
      <c r="Q35" s="1" t="n">
        <v>290617296</v>
      </c>
      <c r="R35" s="1" t="n">
        <v>0</v>
      </c>
    </row>
    <row r="36" customFormat="false" ht="15" hidden="false" customHeight="false" outlineLevel="0" collapsed="false">
      <c r="A36" s="1" t="s">
        <v>86</v>
      </c>
      <c r="B36" s="1" t="n">
        <v>60553521</v>
      </c>
      <c r="C36" s="1" t="n">
        <v>20724917</v>
      </c>
      <c r="D36" s="1" t="n">
        <v>8000000</v>
      </c>
      <c r="E36" s="1" t="n">
        <v>89278438</v>
      </c>
      <c r="F36" s="1" t="n">
        <v>351329234</v>
      </c>
      <c r="G36" s="1" t="n">
        <v>43008538</v>
      </c>
      <c r="H36" s="1" t="n">
        <v>394337772</v>
      </c>
      <c r="I36" s="1" t="n">
        <v>483616210</v>
      </c>
      <c r="J36" s="1" t="n">
        <v>2806994</v>
      </c>
      <c r="K36" s="1" t="n">
        <v>15034296</v>
      </c>
      <c r="L36" s="1" t="n">
        <v>17841289</v>
      </c>
      <c r="M36" s="1" t="n">
        <v>172894398</v>
      </c>
      <c r="N36" s="1" t="n">
        <v>190735688</v>
      </c>
      <c r="O36" s="1" t="n">
        <v>140000000</v>
      </c>
      <c r="P36" s="1" t="n">
        <v>152880522</v>
      </c>
      <c r="Q36" s="1" t="n">
        <v>292880522</v>
      </c>
      <c r="R36" s="1" t="n">
        <v>0</v>
      </c>
    </row>
    <row r="37" customFormat="false" ht="15" hidden="false" customHeight="false" outlineLevel="0" collapsed="false">
      <c r="A37" s="1" t="s">
        <v>87</v>
      </c>
      <c r="B37" s="1" t="n">
        <v>56125563</v>
      </c>
      <c r="C37" s="1" t="n">
        <v>22131083</v>
      </c>
      <c r="D37" s="1" t="n">
        <v>8000000</v>
      </c>
      <c r="E37" s="1" t="n">
        <v>86256646</v>
      </c>
      <c r="F37" s="1" t="n">
        <v>352581387</v>
      </c>
      <c r="G37" s="1" t="n">
        <v>42844250</v>
      </c>
      <c r="H37" s="1" t="n">
        <v>395425637</v>
      </c>
      <c r="I37" s="1" t="n">
        <v>481682283</v>
      </c>
      <c r="J37" s="1" t="n">
        <v>3046683</v>
      </c>
      <c r="K37" s="1" t="n">
        <v>14673034</v>
      </c>
      <c r="L37" s="1" t="n">
        <v>17719717</v>
      </c>
      <c r="M37" s="1" t="n">
        <v>168739888</v>
      </c>
      <c r="N37" s="1" t="n">
        <v>186459605</v>
      </c>
      <c r="O37" s="1" t="n">
        <v>140000000</v>
      </c>
      <c r="P37" s="1" t="n">
        <v>155222678</v>
      </c>
      <c r="Q37" s="1" t="n">
        <v>295222678</v>
      </c>
      <c r="R37" s="1" t="n">
        <v>0</v>
      </c>
    </row>
    <row r="38" customFormat="false" ht="15" hidden="false" customHeight="false" outlineLevel="0" collapsed="false">
      <c r="A38" s="1" t="s">
        <v>88</v>
      </c>
      <c r="B38" s="1" t="n">
        <v>64770055</v>
      </c>
      <c r="C38" s="1" t="n">
        <v>22411852</v>
      </c>
      <c r="D38" s="1" t="n">
        <v>8000000</v>
      </c>
      <c r="E38" s="1" t="n">
        <v>95181906</v>
      </c>
      <c r="F38" s="1" t="n">
        <v>353929649</v>
      </c>
      <c r="G38" s="1" t="n">
        <v>42691232</v>
      </c>
      <c r="H38" s="1" t="n">
        <v>396620881</v>
      </c>
      <c r="I38" s="1" t="n">
        <v>491802787</v>
      </c>
      <c r="J38" s="1" t="n">
        <v>2779992</v>
      </c>
      <c r="K38" s="1" t="n">
        <v>15317093</v>
      </c>
      <c r="L38" s="1" t="n">
        <v>18097085</v>
      </c>
      <c r="M38" s="1" t="n">
        <v>176146567</v>
      </c>
      <c r="N38" s="1" t="n">
        <v>194243652</v>
      </c>
      <c r="O38" s="1" t="n">
        <v>140000000</v>
      </c>
      <c r="P38" s="1" t="n">
        <v>157559135</v>
      </c>
      <c r="Q38" s="1" t="n">
        <v>297559135</v>
      </c>
      <c r="R38" s="1" t="n">
        <v>0</v>
      </c>
    </row>
    <row r="39" customFormat="false" ht="15" hidden="false" customHeight="false" outlineLevel="0" collapsed="false">
      <c r="A39" s="1" t="s">
        <v>89</v>
      </c>
      <c r="B39" s="1" t="n">
        <v>53880820</v>
      </c>
      <c r="C39" s="1" t="n">
        <v>21731150</v>
      </c>
      <c r="D39" s="1" t="n">
        <v>8000000</v>
      </c>
      <c r="E39" s="1" t="n">
        <v>83611970</v>
      </c>
      <c r="F39" s="1" t="n">
        <v>355270336</v>
      </c>
      <c r="G39" s="1" t="n">
        <v>42536596</v>
      </c>
      <c r="H39" s="1" t="n">
        <v>397806932</v>
      </c>
      <c r="I39" s="1" t="n">
        <v>481418902</v>
      </c>
      <c r="J39" s="1" t="n">
        <v>2856620</v>
      </c>
      <c r="K39" s="1" t="n">
        <v>14279929</v>
      </c>
      <c r="L39" s="1" t="n">
        <v>17136549</v>
      </c>
      <c r="M39" s="1" t="n">
        <v>164219187</v>
      </c>
      <c r="N39" s="1" t="n">
        <v>181355736</v>
      </c>
      <c r="O39" s="1" t="n">
        <v>140000000</v>
      </c>
      <c r="P39" s="1" t="n">
        <v>160063166</v>
      </c>
      <c r="Q39" s="1" t="n">
        <v>300063166</v>
      </c>
      <c r="R39" s="1" t="n">
        <v>0</v>
      </c>
    </row>
    <row r="40" customFormat="false" ht="15" hidden="false" customHeight="false" outlineLevel="0" collapsed="false">
      <c r="A40" s="1" t="s">
        <v>90</v>
      </c>
      <c r="B40" s="1" t="n">
        <v>66256229</v>
      </c>
      <c r="C40" s="1" t="n">
        <v>21727485</v>
      </c>
      <c r="D40" s="1" t="n">
        <v>8000000</v>
      </c>
      <c r="E40" s="1" t="n">
        <v>95983713</v>
      </c>
      <c r="F40" s="1" t="n">
        <v>356774508</v>
      </c>
      <c r="G40" s="1" t="n">
        <v>42359305</v>
      </c>
      <c r="H40" s="1" t="n">
        <v>399133813</v>
      </c>
      <c r="I40" s="1" t="n">
        <v>495117526</v>
      </c>
      <c r="J40" s="1" t="n">
        <v>2294647</v>
      </c>
      <c r="K40" s="1" t="n">
        <v>15236712</v>
      </c>
      <c r="L40" s="1" t="n">
        <v>17531359</v>
      </c>
      <c r="M40" s="1" t="n">
        <v>175222184</v>
      </c>
      <c r="N40" s="1" t="n">
        <v>192753543</v>
      </c>
      <c r="O40" s="1" t="n">
        <v>140000000</v>
      </c>
      <c r="P40" s="1" t="n">
        <v>162363983</v>
      </c>
      <c r="Q40" s="1" t="n">
        <v>302363983</v>
      </c>
      <c r="R40" s="1" t="n">
        <v>0</v>
      </c>
    </row>
    <row r="41" customFormat="false" ht="15" hidden="false" customHeight="false" outlineLevel="0" collapsed="false">
      <c r="A41" s="1" t="s">
        <v>91</v>
      </c>
      <c r="B41" s="1" t="n">
        <v>61863188</v>
      </c>
      <c r="C41" s="1" t="n">
        <v>23447448</v>
      </c>
      <c r="D41" s="1" t="n">
        <v>8000000</v>
      </c>
      <c r="E41" s="1" t="n">
        <v>93310636</v>
      </c>
      <c r="F41" s="1" t="n">
        <v>359540413</v>
      </c>
      <c r="G41" s="1" t="n">
        <v>42209439</v>
      </c>
      <c r="H41" s="1" t="n">
        <v>401749852</v>
      </c>
      <c r="I41" s="1" t="n">
        <v>495060488</v>
      </c>
      <c r="J41" s="1" t="n">
        <v>2949858</v>
      </c>
      <c r="K41" s="1" t="n">
        <v>14977229</v>
      </c>
      <c r="L41" s="1" t="n">
        <v>17927087</v>
      </c>
      <c r="M41" s="1" t="n">
        <v>172238136</v>
      </c>
      <c r="N41" s="1" t="n">
        <v>190165223</v>
      </c>
      <c r="O41" s="1" t="n">
        <v>140000000</v>
      </c>
      <c r="P41" s="1" t="n">
        <v>164895265</v>
      </c>
      <c r="Q41" s="1" t="n">
        <v>304895265</v>
      </c>
      <c r="R41" s="1" t="n">
        <v>0</v>
      </c>
    </row>
    <row r="42" customFormat="false" ht="15" hidden="false" customHeight="false" outlineLevel="0" collapsed="false">
      <c r="A42" s="1" t="s">
        <v>92</v>
      </c>
      <c r="B42" s="1" t="n">
        <v>56410517</v>
      </c>
      <c r="C42" s="1" t="n">
        <v>22869728</v>
      </c>
      <c r="D42" s="1" t="n">
        <v>8000000</v>
      </c>
      <c r="E42" s="1" t="n">
        <v>87280245</v>
      </c>
      <c r="F42" s="1" t="n">
        <v>361647433</v>
      </c>
      <c r="G42" s="1" t="n">
        <v>42048533</v>
      </c>
      <c r="H42" s="1" t="n">
        <v>403695966</v>
      </c>
      <c r="I42" s="1" t="n">
        <v>490976211</v>
      </c>
      <c r="J42" s="1" t="n">
        <v>2669756</v>
      </c>
      <c r="K42" s="1" t="n">
        <v>14464967</v>
      </c>
      <c r="L42" s="1" t="n">
        <v>17134723</v>
      </c>
      <c r="M42" s="1" t="n">
        <v>166347124</v>
      </c>
      <c r="N42" s="1" t="n">
        <v>183481847</v>
      </c>
      <c r="O42" s="1" t="n">
        <v>140000000</v>
      </c>
      <c r="P42" s="1" t="n">
        <v>167494364</v>
      </c>
      <c r="Q42" s="1" t="n">
        <v>307494364</v>
      </c>
      <c r="R42" s="1" t="n">
        <v>0</v>
      </c>
    </row>
    <row r="43" customFormat="false" ht="15" hidden="false" customHeight="false" outlineLevel="0" collapsed="false">
      <c r="A43" s="1" t="s">
        <v>93</v>
      </c>
      <c r="B43" s="1" t="n">
        <v>51908131</v>
      </c>
      <c r="C43" s="1" t="n">
        <v>23239907</v>
      </c>
      <c r="D43" s="1" t="n">
        <v>8000000</v>
      </c>
      <c r="E43" s="1" t="n">
        <v>83148038</v>
      </c>
      <c r="F43" s="1" t="n">
        <v>363236406</v>
      </c>
      <c r="G43" s="1" t="n">
        <v>41875756</v>
      </c>
      <c r="H43" s="1" t="n">
        <v>405112162</v>
      </c>
      <c r="I43" s="1" t="n">
        <v>488260200</v>
      </c>
      <c r="J43" s="1" t="n">
        <v>3013112</v>
      </c>
      <c r="K43" s="1" t="n">
        <v>14020185</v>
      </c>
      <c r="L43" s="1" t="n">
        <v>17033297</v>
      </c>
      <c r="M43" s="1" t="n">
        <v>161232130</v>
      </c>
      <c r="N43" s="1" t="n">
        <v>178265427</v>
      </c>
      <c r="O43" s="1" t="n">
        <v>140000000</v>
      </c>
      <c r="P43" s="1" t="n">
        <v>169994773</v>
      </c>
      <c r="Q43" s="1" t="n">
        <v>309994773</v>
      </c>
      <c r="R43" s="1" t="n">
        <v>0</v>
      </c>
    </row>
    <row r="44" customFormat="false" ht="15" hidden="false" customHeight="false" outlineLevel="0" collapsed="false">
      <c r="A44" s="1" t="s">
        <v>94</v>
      </c>
      <c r="B44" s="1" t="n">
        <v>49484510</v>
      </c>
      <c r="C44" s="1" t="n">
        <v>22896659</v>
      </c>
      <c r="D44" s="1" t="n">
        <v>8000000</v>
      </c>
      <c r="E44" s="1" t="n">
        <v>80381169</v>
      </c>
      <c r="F44" s="1" t="n">
        <v>364680779</v>
      </c>
      <c r="G44" s="1" t="n">
        <v>41704238</v>
      </c>
      <c r="H44" s="1" t="n">
        <v>406385017</v>
      </c>
      <c r="I44" s="1" t="n">
        <v>486766186</v>
      </c>
      <c r="J44" s="1" t="n">
        <v>2868979</v>
      </c>
      <c r="K44" s="1" t="n">
        <v>13700368</v>
      </c>
      <c r="L44" s="1" t="n">
        <v>16569347</v>
      </c>
      <c r="M44" s="1" t="n">
        <v>157554233</v>
      </c>
      <c r="N44" s="1" t="n">
        <v>174123580</v>
      </c>
      <c r="O44" s="1" t="n">
        <v>140000000</v>
      </c>
      <c r="P44" s="1" t="n">
        <v>172642606</v>
      </c>
      <c r="Q44" s="1" t="n">
        <v>312642606</v>
      </c>
      <c r="R44" s="1" t="n">
        <v>0</v>
      </c>
    </row>
    <row r="45" customFormat="false" ht="15" hidden="false" customHeight="false" outlineLevel="0" collapsed="false">
      <c r="A45" s="1" t="s">
        <v>95</v>
      </c>
      <c r="B45" s="1" t="n">
        <v>57109996</v>
      </c>
      <c r="C45" s="1" t="n">
        <v>23668150</v>
      </c>
      <c r="D45" s="1" t="n">
        <v>8000000</v>
      </c>
      <c r="E45" s="1" t="n">
        <v>88778146</v>
      </c>
      <c r="F45" s="1" t="n">
        <v>366054879</v>
      </c>
      <c r="G45" s="1" t="n">
        <v>41517936</v>
      </c>
      <c r="H45" s="1" t="n">
        <v>407572815</v>
      </c>
      <c r="I45" s="1" t="n">
        <v>496350961</v>
      </c>
      <c r="J45" s="1" t="n">
        <v>3054470</v>
      </c>
      <c r="K45" s="1" t="n">
        <v>14250462</v>
      </c>
      <c r="L45" s="1" t="n">
        <v>17304932</v>
      </c>
      <c r="M45" s="1" t="n">
        <v>163880309</v>
      </c>
      <c r="N45" s="1" t="n">
        <v>181185241</v>
      </c>
      <c r="O45" s="1" t="n">
        <v>140000000</v>
      </c>
      <c r="P45" s="1" t="n">
        <v>175165720</v>
      </c>
      <c r="Q45" s="1" t="n">
        <v>315165720</v>
      </c>
      <c r="R45" s="1" t="n">
        <v>0</v>
      </c>
    </row>
    <row r="46" customFormat="false" ht="15" hidden="false" customHeight="false" outlineLevel="0" collapsed="false">
      <c r="A46" s="1" t="s">
        <v>96</v>
      </c>
      <c r="B46" s="1" t="n">
        <v>46321737</v>
      </c>
      <c r="C46" s="1" t="n">
        <v>23118252</v>
      </c>
      <c r="D46" s="1" t="n">
        <v>8000000</v>
      </c>
      <c r="E46" s="1" t="n">
        <v>77439989</v>
      </c>
      <c r="F46" s="1" t="n">
        <v>367162271</v>
      </c>
      <c r="G46" s="1" t="n">
        <v>41333889</v>
      </c>
      <c r="H46" s="1" t="n">
        <v>408496160</v>
      </c>
      <c r="I46" s="1" t="n">
        <v>485936149</v>
      </c>
      <c r="J46" s="1" t="n">
        <v>2854830</v>
      </c>
      <c r="K46" s="1" t="n">
        <v>13229102</v>
      </c>
      <c r="L46" s="1" t="n">
        <v>16083932</v>
      </c>
      <c r="M46" s="1" t="n">
        <v>152134677</v>
      </c>
      <c r="N46" s="1" t="n">
        <v>168218609</v>
      </c>
      <c r="O46" s="1" t="n">
        <v>140000000</v>
      </c>
      <c r="P46" s="1" t="n">
        <v>177717540</v>
      </c>
      <c r="Q46" s="1" t="n">
        <v>317717540</v>
      </c>
      <c r="R46" s="1" t="n">
        <v>0</v>
      </c>
    </row>
    <row r="47" customFormat="false" ht="15" hidden="false" customHeight="false" outlineLevel="0" collapsed="false">
      <c r="A47" s="1" t="s">
        <v>97</v>
      </c>
      <c r="B47" s="1" t="n">
        <v>51936604</v>
      </c>
      <c r="C47" s="1" t="n">
        <v>23693807</v>
      </c>
      <c r="D47" s="1" t="n">
        <v>8000000</v>
      </c>
      <c r="E47" s="1" t="n">
        <v>83630411</v>
      </c>
      <c r="F47" s="1" t="n">
        <v>369140613</v>
      </c>
      <c r="G47" s="1" t="n">
        <v>41143586</v>
      </c>
      <c r="H47" s="1" t="n">
        <v>410284199</v>
      </c>
      <c r="I47" s="1" t="n">
        <v>493914610</v>
      </c>
      <c r="J47" s="1" t="n">
        <v>2644227</v>
      </c>
      <c r="K47" s="1" t="n">
        <v>13670950</v>
      </c>
      <c r="L47" s="1" t="n">
        <v>16315178</v>
      </c>
      <c r="M47" s="1" t="n">
        <v>157215931</v>
      </c>
      <c r="N47" s="1" t="n">
        <v>173531108</v>
      </c>
      <c r="O47" s="1" t="n">
        <v>140000000</v>
      </c>
      <c r="P47" s="1" t="n">
        <v>180383502</v>
      </c>
      <c r="Q47" s="1" t="n">
        <v>320383502</v>
      </c>
      <c r="R47" s="1" t="n">
        <v>0</v>
      </c>
    </row>
    <row r="48" customFormat="false" ht="15" hidden="false" customHeight="false" outlineLevel="0" collapsed="false">
      <c r="A48" s="1" t="s">
        <v>98</v>
      </c>
      <c r="B48" s="1" t="n">
        <v>59118634</v>
      </c>
      <c r="C48" s="1" t="n">
        <v>24112044</v>
      </c>
      <c r="D48" s="1" t="n">
        <v>8000000</v>
      </c>
      <c r="E48" s="1" t="n">
        <v>91230679</v>
      </c>
      <c r="F48" s="1" t="n">
        <v>370596921</v>
      </c>
      <c r="G48" s="1" t="n">
        <v>40963925</v>
      </c>
      <c r="H48" s="1" t="n">
        <v>411560846</v>
      </c>
      <c r="I48" s="1" t="n">
        <v>502791525</v>
      </c>
      <c r="J48" s="1" t="n">
        <v>3171575</v>
      </c>
      <c r="K48" s="1" t="n">
        <v>14120882</v>
      </c>
      <c r="L48" s="1" t="n">
        <v>17292457</v>
      </c>
      <c r="M48" s="1" t="n">
        <v>162390143</v>
      </c>
      <c r="N48" s="1" t="n">
        <v>179682600</v>
      </c>
      <c r="O48" s="1" t="n">
        <v>140000000</v>
      </c>
      <c r="P48" s="1" t="n">
        <v>183108924</v>
      </c>
      <c r="Q48" s="1" t="n">
        <v>323108924</v>
      </c>
      <c r="R48" s="1" t="n">
        <v>0</v>
      </c>
    </row>
    <row r="49" customFormat="false" ht="15" hidden="false" customHeight="false" outlineLevel="0" collapsed="false">
      <c r="A49" s="1" t="s">
        <v>99</v>
      </c>
      <c r="B49" s="1" t="n">
        <v>44602386</v>
      </c>
      <c r="C49" s="1" t="n">
        <v>24332077</v>
      </c>
      <c r="D49" s="1" t="n">
        <v>8000000</v>
      </c>
      <c r="E49" s="1" t="n">
        <v>76934463</v>
      </c>
      <c r="F49" s="1" t="n">
        <v>372143006</v>
      </c>
      <c r="G49" s="1" t="n">
        <v>40777379</v>
      </c>
      <c r="H49" s="1" t="n">
        <v>412920385</v>
      </c>
      <c r="I49" s="1" t="n">
        <v>489854848</v>
      </c>
      <c r="J49" s="1" t="n">
        <v>3256291</v>
      </c>
      <c r="K49" s="1" t="n">
        <v>12863167</v>
      </c>
      <c r="L49" s="1" t="n">
        <v>16119458</v>
      </c>
      <c r="M49" s="1" t="n">
        <v>147926424</v>
      </c>
      <c r="N49" s="1" t="n">
        <v>164045882</v>
      </c>
      <c r="O49" s="1" t="n">
        <v>140000000</v>
      </c>
      <c r="P49" s="1" t="n">
        <v>185808966</v>
      </c>
      <c r="Q49" s="1" t="n">
        <v>325808966</v>
      </c>
      <c r="R49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3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18"/>
  </cols>
  <sheetData>
    <row r="1" customFormat="false" ht="28.35" hidden="false" customHeight="false" outlineLevel="0" collapsed="false">
      <c r="A1" s="13" t="s">
        <v>45</v>
      </c>
      <c r="B1" s="13" t="s">
        <v>139</v>
      </c>
      <c r="C1" s="13" t="s">
        <v>140</v>
      </c>
      <c r="D1" s="13" t="s">
        <v>141</v>
      </c>
      <c r="E1" s="13" t="s">
        <v>142</v>
      </c>
      <c r="F1" s="13" t="s">
        <v>143</v>
      </c>
      <c r="G1" s="13" t="s">
        <v>144</v>
      </c>
      <c r="H1" s="13" t="s">
        <v>145</v>
      </c>
    </row>
    <row r="2" customFormat="false" ht="15" hidden="false" customHeight="false" outlineLevel="0" collapsed="false">
      <c r="A2" s="1" t="s">
        <v>53</v>
      </c>
      <c r="B2" s="1" t="n">
        <v>4245416</v>
      </c>
      <c r="C2" s="1" t="n">
        <v>-3120239</v>
      </c>
      <c r="D2" s="1" t="n">
        <v>-1816271</v>
      </c>
      <c r="E2" s="1" t="n">
        <v>-691094</v>
      </c>
      <c r="F2" s="1" t="n">
        <v>11308906</v>
      </c>
      <c r="G2" s="1" t="n">
        <v>1125177</v>
      </c>
      <c r="H2" s="1" t="n">
        <v>1003771</v>
      </c>
    </row>
    <row r="3" customFormat="false" ht="15" hidden="false" customHeight="false" outlineLevel="0" collapsed="false">
      <c r="A3" s="1" t="s">
        <v>54</v>
      </c>
      <c r="B3" s="1" t="n">
        <v>4163517</v>
      </c>
      <c r="C3" s="1" t="n">
        <v>-2687909</v>
      </c>
      <c r="D3" s="1" t="n">
        <v>-1853300</v>
      </c>
      <c r="E3" s="1" t="n">
        <v>-377691</v>
      </c>
      <c r="F3" s="1" t="n">
        <v>10931215</v>
      </c>
      <c r="G3" s="1" t="n">
        <v>1475608</v>
      </c>
      <c r="H3" s="1" t="n">
        <v>1040800</v>
      </c>
    </row>
    <row r="4" customFormat="false" ht="15" hidden="false" customHeight="false" outlineLevel="0" collapsed="false">
      <c r="A4" s="1" t="s">
        <v>55</v>
      </c>
      <c r="B4" s="1" t="n">
        <v>5145551</v>
      </c>
      <c r="C4" s="1" t="n">
        <v>-2602932</v>
      </c>
      <c r="D4" s="1" t="n">
        <v>-1855681</v>
      </c>
      <c r="E4" s="1" t="n">
        <v>686938</v>
      </c>
      <c r="F4" s="1" t="n">
        <v>11618154</v>
      </c>
      <c r="G4" s="1" t="n">
        <v>2542619</v>
      </c>
      <c r="H4" s="1" t="n">
        <v>1043181</v>
      </c>
    </row>
    <row r="5" customFormat="false" ht="15" hidden="false" customHeight="false" outlineLevel="0" collapsed="false">
      <c r="A5" s="1" t="s">
        <v>56</v>
      </c>
      <c r="B5" s="1" t="n">
        <v>5298421</v>
      </c>
      <c r="C5" s="1" t="n">
        <v>-2579344</v>
      </c>
      <c r="D5" s="1" t="n">
        <v>-1894147</v>
      </c>
      <c r="E5" s="1" t="n">
        <v>824930</v>
      </c>
      <c r="F5" s="1" t="n">
        <v>12443084</v>
      </c>
      <c r="G5" s="1" t="n">
        <v>2719077</v>
      </c>
      <c r="H5" s="1" t="n">
        <v>1081647</v>
      </c>
    </row>
    <row r="6" customFormat="false" ht="15" hidden="false" customHeight="false" outlineLevel="0" collapsed="false">
      <c r="A6" s="1" t="s">
        <v>57</v>
      </c>
      <c r="B6" s="1" t="n">
        <v>2421213</v>
      </c>
      <c r="C6" s="1" t="n">
        <v>-2438140</v>
      </c>
      <c r="D6" s="1" t="n">
        <v>50221577</v>
      </c>
      <c r="E6" s="1" t="n">
        <v>50204650</v>
      </c>
      <c r="F6" s="1" t="n">
        <v>62647734</v>
      </c>
      <c r="G6" s="1" t="n">
        <v>-16927</v>
      </c>
      <c r="H6" s="1" t="n">
        <v>965923</v>
      </c>
    </row>
    <row r="7" customFormat="false" ht="15" hidden="false" customHeight="false" outlineLevel="0" collapsed="false">
      <c r="A7" s="1" t="s">
        <v>58</v>
      </c>
      <c r="B7" s="1" t="n">
        <v>4508431</v>
      </c>
      <c r="C7" s="1" t="n">
        <v>-2287824</v>
      </c>
      <c r="D7" s="1" t="n">
        <v>-2450531</v>
      </c>
      <c r="E7" s="1" t="n">
        <v>-229925</v>
      </c>
      <c r="F7" s="1" t="n">
        <v>62417810</v>
      </c>
      <c r="G7" s="1" t="n">
        <v>2220607</v>
      </c>
      <c r="H7" s="1" t="n">
        <v>1018983</v>
      </c>
    </row>
    <row r="8" customFormat="false" ht="15" hidden="false" customHeight="false" outlineLevel="0" collapsed="false">
      <c r="A8" s="1" t="s">
        <v>59</v>
      </c>
      <c r="B8" s="1" t="n">
        <v>3878846</v>
      </c>
      <c r="C8" s="1" t="n">
        <v>-2179532</v>
      </c>
      <c r="D8" s="1" t="n">
        <v>-2422654</v>
      </c>
      <c r="E8" s="1" t="n">
        <v>-723340</v>
      </c>
      <c r="F8" s="1" t="n">
        <v>61694470</v>
      </c>
      <c r="G8" s="1" t="n">
        <v>1699314</v>
      </c>
      <c r="H8" s="1" t="n">
        <v>991107</v>
      </c>
    </row>
    <row r="9" customFormat="false" ht="15" hidden="false" customHeight="false" outlineLevel="0" collapsed="false">
      <c r="A9" s="1" t="s">
        <v>60</v>
      </c>
      <c r="B9" s="1" t="n">
        <v>4577666</v>
      </c>
      <c r="C9" s="1" t="n">
        <v>-2990540</v>
      </c>
      <c r="D9" s="1" t="n">
        <v>-2428871</v>
      </c>
      <c r="E9" s="1" t="n">
        <v>-841745</v>
      </c>
      <c r="F9" s="1" t="n">
        <v>60852725</v>
      </c>
      <c r="G9" s="1" t="n">
        <v>1587126</v>
      </c>
      <c r="H9" s="1" t="n">
        <v>997323</v>
      </c>
    </row>
    <row r="10" customFormat="false" ht="15" hidden="false" customHeight="false" outlineLevel="0" collapsed="false">
      <c r="A10" s="1" t="s">
        <v>61</v>
      </c>
      <c r="B10" s="1" t="n">
        <v>4542268</v>
      </c>
      <c r="C10" s="1" t="n">
        <v>-2235805</v>
      </c>
      <c r="D10" s="1" t="n">
        <v>-2398241</v>
      </c>
      <c r="E10" s="1" t="n">
        <v>-91778</v>
      </c>
      <c r="F10" s="1" t="n">
        <v>60760947</v>
      </c>
      <c r="G10" s="1" t="n">
        <v>2306463</v>
      </c>
      <c r="H10" s="1" t="n">
        <v>966694</v>
      </c>
    </row>
    <row r="11" customFormat="false" ht="15" hidden="false" customHeight="false" outlineLevel="0" collapsed="false">
      <c r="A11" s="1" t="s">
        <v>62</v>
      </c>
      <c r="B11" s="1" t="n">
        <v>4377885</v>
      </c>
      <c r="C11" s="1" t="n">
        <v>-2619127</v>
      </c>
      <c r="D11" s="1" t="n">
        <v>-2368868</v>
      </c>
      <c r="E11" s="1" t="n">
        <v>-610109</v>
      </c>
      <c r="F11" s="1" t="n">
        <v>60150838</v>
      </c>
      <c r="G11" s="1" t="n">
        <v>1758758</v>
      </c>
      <c r="H11" s="1" t="n">
        <v>937320</v>
      </c>
    </row>
    <row r="12" customFormat="false" ht="15" hidden="false" customHeight="false" outlineLevel="0" collapsed="false">
      <c r="A12" s="1" t="s">
        <v>63</v>
      </c>
      <c r="B12" s="1" t="n">
        <v>5007457</v>
      </c>
      <c r="C12" s="1" t="n">
        <v>-2131126</v>
      </c>
      <c r="D12" s="1" t="n">
        <v>-2391927</v>
      </c>
      <c r="E12" s="1" t="n">
        <v>484404</v>
      </c>
      <c r="F12" s="1" t="n">
        <v>60635241</v>
      </c>
      <c r="G12" s="1" t="n">
        <v>2876331</v>
      </c>
      <c r="H12" s="1" t="n">
        <v>960379</v>
      </c>
    </row>
    <row r="13" customFormat="false" ht="15" hidden="false" customHeight="false" outlineLevel="0" collapsed="false">
      <c r="A13" s="1" t="s">
        <v>64</v>
      </c>
      <c r="B13" s="1" t="n">
        <v>2473510</v>
      </c>
      <c r="C13" s="1" t="n">
        <v>-2830434</v>
      </c>
      <c r="D13" s="1" t="n">
        <v>-2412610</v>
      </c>
      <c r="E13" s="1" t="n">
        <v>-2769533</v>
      </c>
      <c r="F13" s="1" t="n">
        <v>57865708</v>
      </c>
      <c r="G13" s="1" t="n">
        <v>-356924</v>
      </c>
      <c r="H13" s="1" t="n">
        <v>981063</v>
      </c>
    </row>
    <row r="14" customFormat="false" ht="15" hidden="false" customHeight="false" outlineLevel="0" collapsed="false">
      <c r="A14" s="1" t="s">
        <v>65</v>
      </c>
      <c r="B14" s="1" t="n">
        <v>4832666</v>
      </c>
      <c r="C14" s="1" t="n">
        <v>-2500349</v>
      </c>
      <c r="D14" s="1" t="n">
        <v>-2469997</v>
      </c>
      <c r="E14" s="1" t="n">
        <v>-137680</v>
      </c>
      <c r="F14" s="1" t="n">
        <v>57728028</v>
      </c>
      <c r="G14" s="1" t="n">
        <v>2332317</v>
      </c>
      <c r="H14" s="1" t="n">
        <v>1038449</v>
      </c>
    </row>
    <row r="15" customFormat="false" ht="15" hidden="false" customHeight="false" outlineLevel="0" collapsed="false">
      <c r="A15" s="1" t="s">
        <v>66</v>
      </c>
      <c r="B15" s="1" t="n">
        <v>5261762</v>
      </c>
      <c r="C15" s="1" t="n">
        <v>-2215470</v>
      </c>
      <c r="D15" s="1" t="n">
        <v>-2416648</v>
      </c>
      <c r="E15" s="1" t="n">
        <v>629644</v>
      </c>
      <c r="F15" s="1" t="n">
        <v>58357672</v>
      </c>
      <c r="G15" s="1" t="n">
        <v>3046292</v>
      </c>
      <c r="H15" s="1" t="n">
        <v>985100</v>
      </c>
    </row>
    <row r="16" customFormat="false" ht="15" hidden="false" customHeight="false" outlineLevel="0" collapsed="false">
      <c r="A16" s="1" t="s">
        <v>67</v>
      </c>
      <c r="B16" s="1" t="n">
        <v>4137231</v>
      </c>
      <c r="C16" s="1" t="n">
        <v>-2239414</v>
      </c>
      <c r="D16" s="1" t="n">
        <v>3486593</v>
      </c>
      <c r="E16" s="1" t="n">
        <v>5384410</v>
      </c>
      <c r="F16" s="1" t="n">
        <v>63742083</v>
      </c>
      <c r="G16" s="1" t="n">
        <v>1897817</v>
      </c>
      <c r="H16" s="1" t="n">
        <v>1035041</v>
      </c>
    </row>
    <row r="17" customFormat="false" ht="15" hidden="false" customHeight="false" outlineLevel="0" collapsed="false">
      <c r="A17" s="1" t="s">
        <v>68</v>
      </c>
      <c r="B17" s="1" t="n">
        <v>3784056</v>
      </c>
      <c r="C17" s="1" t="n">
        <v>-2731395</v>
      </c>
      <c r="D17" s="1" t="n">
        <v>-1641500</v>
      </c>
      <c r="E17" s="1" t="n">
        <v>-588838</v>
      </c>
      <c r="F17" s="1" t="n">
        <v>63153244</v>
      </c>
      <c r="G17" s="1" t="n">
        <v>1052661</v>
      </c>
      <c r="H17" s="1" t="n">
        <v>1053426</v>
      </c>
    </row>
    <row r="18" customFormat="false" ht="15" hidden="false" customHeight="false" outlineLevel="0" collapsed="false">
      <c r="A18" s="1" t="s">
        <v>69</v>
      </c>
      <c r="B18" s="1" t="n">
        <v>4447763</v>
      </c>
      <c r="C18" s="1" t="n">
        <v>-2820533</v>
      </c>
      <c r="D18" s="1" t="n">
        <v>9455899</v>
      </c>
      <c r="E18" s="1" t="n">
        <v>11083129</v>
      </c>
      <c r="F18" s="1" t="n">
        <v>74236373</v>
      </c>
      <c r="G18" s="1" t="n">
        <v>1627230</v>
      </c>
      <c r="H18" s="1" t="n">
        <v>1014887</v>
      </c>
    </row>
    <row r="19" customFormat="false" ht="15" hidden="false" customHeight="false" outlineLevel="0" collapsed="false">
      <c r="A19" s="1" t="s">
        <v>70</v>
      </c>
      <c r="B19" s="1" t="n">
        <v>2455345</v>
      </c>
      <c r="C19" s="1" t="n">
        <v>-2647045</v>
      </c>
      <c r="D19" s="1" t="n">
        <v>-9131737</v>
      </c>
      <c r="E19" s="1" t="n">
        <v>-9323437</v>
      </c>
      <c r="F19" s="1" t="n">
        <v>64912936</v>
      </c>
      <c r="G19" s="1" t="n">
        <v>-191700</v>
      </c>
      <c r="H19" s="1" t="n">
        <v>1034911</v>
      </c>
    </row>
    <row r="20" customFormat="false" ht="15" hidden="false" customHeight="false" outlineLevel="0" collapsed="false">
      <c r="A20" s="1" t="s">
        <v>71</v>
      </c>
      <c r="B20" s="1" t="n">
        <v>5916833</v>
      </c>
      <c r="C20" s="1" t="n">
        <v>-2584668</v>
      </c>
      <c r="D20" s="1" t="n">
        <v>-8746968</v>
      </c>
      <c r="E20" s="1" t="n">
        <v>-5414803</v>
      </c>
      <c r="F20" s="1" t="n">
        <v>59498133</v>
      </c>
      <c r="G20" s="1" t="n">
        <v>3332165</v>
      </c>
      <c r="H20" s="1" t="n">
        <v>1121780</v>
      </c>
    </row>
    <row r="21" customFormat="false" ht="15" hidden="false" customHeight="false" outlineLevel="0" collapsed="false">
      <c r="A21" s="1" t="s">
        <v>72</v>
      </c>
      <c r="B21" s="1" t="n">
        <v>4948148</v>
      </c>
      <c r="C21" s="1" t="n">
        <v>-2548502</v>
      </c>
      <c r="D21" s="1" t="n">
        <v>15782632</v>
      </c>
      <c r="E21" s="1" t="n">
        <v>18182278</v>
      </c>
      <c r="F21" s="1" t="n">
        <v>77680411</v>
      </c>
      <c r="G21" s="1" t="n">
        <v>2399646</v>
      </c>
      <c r="H21" s="1" t="n">
        <v>1027989</v>
      </c>
    </row>
    <row r="22" customFormat="false" ht="15" hidden="false" customHeight="false" outlineLevel="0" collapsed="false">
      <c r="A22" s="1" t="s">
        <v>73</v>
      </c>
      <c r="B22" s="1" t="n">
        <v>4149181</v>
      </c>
      <c r="C22" s="1" t="n">
        <v>-2865631</v>
      </c>
      <c r="D22" s="1" t="n">
        <v>-15766681</v>
      </c>
      <c r="E22" s="1" t="n">
        <v>-14483131</v>
      </c>
      <c r="F22" s="1" t="n">
        <v>63197280</v>
      </c>
      <c r="G22" s="1" t="n">
        <v>1283550</v>
      </c>
      <c r="H22" s="1" t="n">
        <v>1105262</v>
      </c>
    </row>
    <row r="23" customFormat="false" ht="15" hidden="false" customHeight="false" outlineLevel="0" collapsed="false">
      <c r="A23" s="1" t="s">
        <v>74</v>
      </c>
      <c r="B23" s="1" t="n">
        <v>4727915</v>
      </c>
      <c r="C23" s="1" t="n">
        <v>-2054277</v>
      </c>
      <c r="D23" s="1" t="n">
        <v>-4301829</v>
      </c>
      <c r="E23" s="1" t="n">
        <v>-1628191</v>
      </c>
      <c r="F23" s="1" t="n">
        <v>61569089</v>
      </c>
      <c r="G23" s="1" t="n">
        <v>2673638</v>
      </c>
      <c r="H23" s="1" t="n">
        <v>1081532</v>
      </c>
    </row>
    <row r="24" customFormat="false" ht="15" hidden="false" customHeight="false" outlineLevel="0" collapsed="false">
      <c r="A24" s="1" t="s">
        <v>75</v>
      </c>
      <c r="B24" s="1" t="n">
        <v>3445537</v>
      </c>
      <c r="C24" s="1" t="n">
        <v>-2711046</v>
      </c>
      <c r="D24" s="1" t="n">
        <v>-4621242</v>
      </c>
      <c r="E24" s="1" t="n">
        <v>-3886751</v>
      </c>
      <c r="F24" s="1" t="n">
        <v>57682338</v>
      </c>
      <c r="G24" s="1" t="n">
        <v>734491</v>
      </c>
      <c r="H24" s="1" t="n">
        <v>989939</v>
      </c>
    </row>
    <row r="25" customFormat="false" ht="15" hidden="false" customHeight="false" outlineLevel="0" collapsed="false">
      <c r="A25" s="1" t="s">
        <v>76</v>
      </c>
      <c r="B25" s="1" t="n">
        <v>6348905</v>
      </c>
      <c r="C25" s="1" t="n">
        <v>-2273735</v>
      </c>
      <c r="D25" s="1" t="n">
        <v>5950055</v>
      </c>
      <c r="E25" s="1" t="n">
        <v>10025225</v>
      </c>
      <c r="F25" s="1" t="n">
        <v>67707562</v>
      </c>
      <c r="G25" s="1" t="n">
        <v>4075170</v>
      </c>
      <c r="H25" s="1" t="n">
        <v>1045876</v>
      </c>
    </row>
    <row r="26" customFormat="false" ht="15" hidden="false" customHeight="false" outlineLevel="0" collapsed="false">
      <c r="A26" s="1" t="s">
        <v>77</v>
      </c>
      <c r="B26" s="1" t="n">
        <v>3842833</v>
      </c>
      <c r="C26" s="1" t="n">
        <v>-2010877</v>
      </c>
      <c r="D26" s="1" t="n">
        <v>136348</v>
      </c>
      <c r="E26" s="1" t="n">
        <v>1968305</v>
      </c>
      <c r="F26" s="1" t="n">
        <v>69675867</v>
      </c>
      <c r="G26" s="1" t="n">
        <v>1831956</v>
      </c>
      <c r="H26" s="1" t="n">
        <v>1184980</v>
      </c>
    </row>
    <row r="27" customFormat="false" ht="15" hidden="false" customHeight="false" outlineLevel="0" collapsed="false">
      <c r="A27" s="1" t="s">
        <v>78</v>
      </c>
      <c r="B27" s="1" t="n">
        <v>3925707</v>
      </c>
      <c r="C27" s="1" t="n">
        <v>-2311247</v>
      </c>
      <c r="D27" s="1" t="n">
        <v>-7583950</v>
      </c>
      <c r="E27" s="1" t="n">
        <v>-5969489</v>
      </c>
      <c r="F27" s="1" t="n">
        <v>63706378</v>
      </c>
      <c r="G27" s="1" t="n">
        <v>1614460</v>
      </c>
      <c r="H27" s="1" t="n">
        <v>1102736</v>
      </c>
    </row>
    <row r="28" customFormat="false" ht="15" hidden="false" customHeight="false" outlineLevel="0" collapsed="false">
      <c r="A28" s="1" t="s">
        <v>79</v>
      </c>
      <c r="B28" s="1" t="n">
        <v>4707409</v>
      </c>
      <c r="C28" s="1" t="n">
        <v>-2478359</v>
      </c>
      <c r="D28" s="1" t="n">
        <v>-807161</v>
      </c>
      <c r="E28" s="1" t="n">
        <v>1421889</v>
      </c>
      <c r="F28" s="1" t="n">
        <v>65128267</v>
      </c>
      <c r="G28" s="1" t="n">
        <v>2229050</v>
      </c>
      <c r="H28" s="1" t="n">
        <v>1154613</v>
      </c>
    </row>
    <row r="29" customFormat="false" ht="15" hidden="false" customHeight="false" outlineLevel="0" collapsed="false">
      <c r="A29" s="1" t="s">
        <v>80</v>
      </c>
      <c r="B29" s="1" t="n">
        <v>4599412</v>
      </c>
      <c r="C29" s="1" t="n">
        <v>-1684236</v>
      </c>
      <c r="D29" s="1" t="n">
        <v>576021</v>
      </c>
      <c r="E29" s="1" t="n">
        <v>3491197</v>
      </c>
      <c r="F29" s="1" t="n">
        <v>68619464</v>
      </c>
      <c r="G29" s="1" t="n">
        <v>2915176</v>
      </c>
      <c r="H29" s="1" t="n">
        <v>1070035</v>
      </c>
    </row>
    <row r="30" customFormat="false" ht="15" hidden="false" customHeight="false" outlineLevel="0" collapsed="false">
      <c r="A30" s="1" t="s">
        <v>81</v>
      </c>
      <c r="B30" s="1" t="n">
        <v>5220568</v>
      </c>
      <c r="C30" s="1" t="n">
        <v>-3321062</v>
      </c>
      <c r="D30" s="1" t="n">
        <v>-10809266</v>
      </c>
      <c r="E30" s="1" t="n">
        <v>-8909760</v>
      </c>
      <c r="F30" s="1" t="n">
        <v>59709704</v>
      </c>
      <c r="G30" s="1" t="n">
        <v>1899506</v>
      </c>
      <c r="H30" s="1" t="n">
        <v>1135678</v>
      </c>
    </row>
    <row r="31" customFormat="false" ht="15" hidden="false" customHeight="false" outlineLevel="0" collapsed="false">
      <c r="A31" s="1" t="s">
        <v>82</v>
      </c>
      <c r="B31" s="1" t="n">
        <v>4489879</v>
      </c>
      <c r="C31" s="1" t="n">
        <v>-3298965</v>
      </c>
      <c r="D31" s="1" t="n">
        <v>2362703</v>
      </c>
      <c r="E31" s="1" t="n">
        <v>3553617</v>
      </c>
      <c r="F31" s="1" t="n">
        <v>63263321</v>
      </c>
      <c r="G31" s="1" t="n">
        <v>1190914</v>
      </c>
      <c r="H31" s="1" t="n">
        <v>1134052</v>
      </c>
    </row>
    <row r="32" customFormat="false" ht="15" hidden="false" customHeight="false" outlineLevel="0" collapsed="false">
      <c r="A32" s="1" t="s">
        <v>83</v>
      </c>
      <c r="B32" s="1" t="n">
        <v>4731244</v>
      </c>
      <c r="C32" s="1" t="n">
        <v>-2735290</v>
      </c>
      <c r="D32" s="1" t="n">
        <v>7534361</v>
      </c>
      <c r="E32" s="1" t="n">
        <v>9530315</v>
      </c>
      <c r="F32" s="1" t="n">
        <v>72793636</v>
      </c>
      <c r="G32" s="1" t="n">
        <v>1995954</v>
      </c>
      <c r="H32" s="1" t="n">
        <v>1128448</v>
      </c>
    </row>
    <row r="33" customFormat="false" ht="15" hidden="false" customHeight="false" outlineLevel="0" collapsed="false">
      <c r="A33" s="1" t="s">
        <v>84</v>
      </c>
      <c r="B33" s="1" t="n">
        <v>6143478</v>
      </c>
      <c r="C33" s="1" t="n">
        <v>-2451722</v>
      </c>
      <c r="D33" s="1" t="n">
        <v>-21193119</v>
      </c>
      <c r="E33" s="1" t="n">
        <v>-17501362</v>
      </c>
      <c r="F33" s="1" t="n">
        <v>55292273</v>
      </c>
      <c r="G33" s="1" t="n">
        <v>3691756</v>
      </c>
      <c r="H33" s="1" t="n">
        <v>1232881</v>
      </c>
    </row>
    <row r="34" customFormat="false" ht="15" hidden="false" customHeight="false" outlineLevel="0" collapsed="false">
      <c r="A34" s="1" t="s">
        <v>85</v>
      </c>
      <c r="B34" s="1" t="n">
        <v>3442299</v>
      </c>
      <c r="C34" s="1" t="n">
        <v>-2352177</v>
      </c>
      <c r="D34" s="1" t="n">
        <v>4139318</v>
      </c>
      <c r="E34" s="1" t="n">
        <v>5229440</v>
      </c>
      <c r="F34" s="1" t="n">
        <v>60521713</v>
      </c>
      <c r="G34" s="1" t="n">
        <v>1090122</v>
      </c>
      <c r="H34" s="1" t="n">
        <v>1246759</v>
      </c>
    </row>
    <row r="35" customFormat="false" ht="15" hidden="false" customHeight="false" outlineLevel="0" collapsed="false">
      <c r="A35" s="1" t="s">
        <v>86</v>
      </c>
      <c r="B35" s="1" t="n">
        <v>5810093</v>
      </c>
      <c r="C35" s="1" t="n">
        <v>-2713445</v>
      </c>
      <c r="D35" s="1" t="n">
        <v>-3064840</v>
      </c>
      <c r="E35" s="1" t="n">
        <v>31808</v>
      </c>
      <c r="F35" s="1" t="n">
        <v>60553521</v>
      </c>
      <c r="G35" s="1" t="n">
        <v>3096648</v>
      </c>
      <c r="H35" s="1" t="n">
        <v>1218660</v>
      </c>
    </row>
    <row r="36" customFormat="false" ht="15" hidden="false" customHeight="false" outlineLevel="0" collapsed="false">
      <c r="A36" s="1" t="s">
        <v>87</v>
      </c>
      <c r="B36" s="1" t="n">
        <v>4079718</v>
      </c>
      <c r="C36" s="1" t="n">
        <v>-2730743</v>
      </c>
      <c r="D36" s="1" t="n">
        <v>-5776933</v>
      </c>
      <c r="E36" s="1" t="n">
        <v>-4427958</v>
      </c>
      <c r="F36" s="1" t="n">
        <v>56125563</v>
      </c>
      <c r="G36" s="1" t="n">
        <v>1348975</v>
      </c>
      <c r="H36" s="1" t="n">
        <v>1261161</v>
      </c>
    </row>
    <row r="37" customFormat="false" ht="15" hidden="false" customHeight="false" outlineLevel="0" collapsed="false">
      <c r="A37" s="1" t="s">
        <v>88</v>
      </c>
      <c r="B37" s="1" t="n">
        <v>4577267</v>
      </c>
      <c r="C37" s="1" t="n">
        <v>-2725421</v>
      </c>
      <c r="D37" s="1" t="n">
        <v>6792646</v>
      </c>
      <c r="E37" s="1" t="n">
        <v>8644492</v>
      </c>
      <c r="F37" s="1" t="n">
        <v>64770055</v>
      </c>
      <c r="G37" s="1" t="n">
        <v>1851846</v>
      </c>
      <c r="H37" s="1" t="n">
        <v>1258092</v>
      </c>
    </row>
    <row r="38" customFormat="false" ht="15" hidden="false" customHeight="false" outlineLevel="0" collapsed="false">
      <c r="A38" s="1" t="s">
        <v>89</v>
      </c>
      <c r="B38" s="1" t="n">
        <v>6156047</v>
      </c>
      <c r="C38" s="1" t="n">
        <v>-2732414</v>
      </c>
      <c r="D38" s="1" t="n">
        <v>-14312868</v>
      </c>
      <c r="E38" s="1" t="n">
        <v>-10889235</v>
      </c>
      <c r="F38" s="1" t="n">
        <v>53880820</v>
      </c>
      <c r="G38" s="1" t="n">
        <v>3423633</v>
      </c>
      <c r="H38" s="1" t="n">
        <v>1348324</v>
      </c>
    </row>
    <row r="39" customFormat="false" ht="15" hidden="false" customHeight="false" outlineLevel="0" collapsed="false">
      <c r="A39" s="1" t="s">
        <v>90</v>
      </c>
      <c r="B39" s="1" t="n">
        <v>4754316</v>
      </c>
      <c r="C39" s="1" t="n">
        <v>-3099785</v>
      </c>
      <c r="D39" s="1" t="n">
        <v>10720878</v>
      </c>
      <c r="E39" s="1" t="n">
        <v>12375409</v>
      </c>
      <c r="F39" s="1" t="n">
        <v>66256229</v>
      </c>
      <c r="G39" s="1" t="n">
        <v>1654531</v>
      </c>
      <c r="H39" s="1" t="n">
        <v>1238902</v>
      </c>
    </row>
    <row r="40" customFormat="false" ht="15" hidden="false" customHeight="false" outlineLevel="0" collapsed="false">
      <c r="A40" s="1" t="s">
        <v>91</v>
      </c>
      <c r="B40" s="1" t="n">
        <v>4328190</v>
      </c>
      <c r="C40" s="1" t="n">
        <v>-4114701</v>
      </c>
      <c r="D40" s="1" t="n">
        <v>-4606529</v>
      </c>
      <c r="E40" s="1" t="n">
        <v>-4393040</v>
      </c>
      <c r="F40" s="1" t="n">
        <v>61863188</v>
      </c>
      <c r="G40" s="1" t="n">
        <v>213489</v>
      </c>
      <c r="H40" s="1" t="n">
        <v>1362998</v>
      </c>
    </row>
    <row r="41" customFormat="false" ht="15" hidden="false" customHeight="false" outlineLevel="0" collapsed="false">
      <c r="A41" s="1" t="s">
        <v>92</v>
      </c>
      <c r="B41" s="1" t="n">
        <v>5905297</v>
      </c>
      <c r="C41" s="1" t="n">
        <v>-3555179</v>
      </c>
      <c r="D41" s="1" t="n">
        <v>-7802789</v>
      </c>
      <c r="E41" s="1" t="n">
        <v>-5452671</v>
      </c>
      <c r="F41" s="1" t="n">
        <v>56410517</v>
      </c>
      <c r="G41" s="1" t="n">
        <v>2350118</v>
      </c>
      <c r="H41" s="1" t="n">
        <v>1399515</v>
      </c>
    </row>
    <row r="42" customFormat="false" ht="15" hidden="false" customHeight="false" outlineLevel="0" collapsed="false">
      <c r="A42" s="1" t="s">
        <v>93</v>
      </c>
      <c r="B42" s="1" t="n">
        <v>5547727</v>
      </c>
      <c r="C42" s="1" t="n">
        <v>-3143963</v>
      </c>
      <c r="D42" s="1" t="n">
        <v>-6906150</v>
      </c>
      <c r="E42" s="1" t="n">
        <v>-4502386</v>
      </c>
      <c r="F42" s="1" t="n">
        <v>51908131</v>
      </c>
      <c r="G42" s="1" t="n">
        <v>2403764</v>
      </c>
      <c r="H42" s="1" t="n">
        <v>1346374</v>
      </c>
    </row>
    <row r="43" customFormat="false" ht="15" hidden="false" customHeight="false" outlineLevel="0" collapsed="false">
      <c r="A43" s="1" t="s">
        <v>94</v>
      </c>
      <c r="B43" s="1" t="n">
        <v>5987882</v>
      </c>
      <c r="C43" s="1" t="n">
        <v>-2988033</v>
      </c>
      <c r="D43" s="1" t="n">
        <v>-5423470</v>
      </c>
      <c r="E43" s="1" t="n">
        <v>-2423621</v>
      </c>
      <c r="F43" s="1" t="n">
        <v>49484510</v>
      </c>
      <c r="G43" s="1" t="n">
        <v>2999849</v>
      </c>
      <c r="H43" s="1" t="n">
        <v>1425756</v>
      </c>
    </row>
    <row r="44" customFormat="false" ht="15" hidden="false" customHeight="false" outlineLevel="0" collapsed="false">
      <c r="A44" s="1" t="s">
        <v>95</v>
      </c>
      <c r="B44" s="1" t="n">
        <v>5158734</v>
      </c>
      <c r="C44" s="1" t="n">
        <v>-3050818</v>
      </c>
      <c r="D44" s="1" t="n">
        <v>5517570</v>
      </c>
      <c r="E44" s="1" t="n">
        <v>7625486</v>
      </c>
      <c r="F44" s="1" t="n">
        <v>57109996</v>
      </c>
      <c r="G44" s="1" t="n">
        <v>2107916</v>
      </c>
      <c r="H44" s="1" t="n">
        <v>1358600</v>
      </c>
    </row>
    <row r="45" customFormat="false" ht="15" hidden="false" customHeight="false" outlineLevel="0" collapsed="false">
      <c r="A45" s="1" t="s">
        <v>96</v>
      </c>
      <c r="B45" s="1" t="n">
        <v>6116603</v>
      </c>
      <c r="C45" s="1" t="n">
        <v>-2763813</v>
      </c>
      <c r="D45" s="1" t="n">
        <v>-14141049</v>
      </c>
      <c r="E45" s="1" t="n">
        <v>-10788259</v>
      </c>
      <c r="F45" s="1" t="n">
        <v>46321737</v>
      </c>
      <c r="G45" s="1" t="n">
        <v>3352790</v>
      </c>
      <c r="H45" s="1" t="n">
        <v>1374057</v>
      </c>
    </row>
    <row r="46" customFormat="false" ht="15" hidden="false" customHeight="false" outlineLevel="0" collapsed="false">
      <c r="A46" s="1" t="s">
        <v>97</v>
      </c>
      <c r="B46" s="1" t="n">
        <v>5218356</v>
      </c>
      <c r="C46" s="1" t="n">
        <v>-3691073</v>
      </c>
      <c r="D46" s="1" t="n">
        <v>4087584</v>
      </c>
      <c r="E46" s="1" t="n">
        <v>5614867</v>
      </c>
      <c r="F46" s="1" t="n">
        <v>51936604</v>
      </c>
      <c r="G46" s="1" t="n">
        <v>1527283</v>
      </c>
      <c r="H46" s="1" t="n">
        <v>1435518</v>
      </c>
    </row>
    <row r="47" customFormat="false" ht="15" hidden="false" customHeight="false" outlineLevel="0" collapsed="false">
      <c r="A47" s="1" t="s">
        <v>98</v>
      </c>
      <c r="B47" s="1" t="n">
        <v>6098683</v>
      </c>
      <c r="C47" s="1" t="n">
        <v>-3073261</v>
      </c>
      <c r="D47" s="1" t="n">
        <v>4156609</v>
      </c>
      <c r="E47" s="1" t="n">
        <v>7182031</v>
      </c>
      <c r="F47" s="1" t="n">
        <v>59118634</v>
      </c>
      <c r="G47" s="1" t="n">
        <v>3025422</v>
      </c>
      <c r="H47" s="1" t="n">
        <v>1467535</v>
      </c>
    </row>
    <row r="48" customFormat="false" ht="15" hidden="false" customHeight="false" outlineLevel="0" collapsed="false">
      <c r="A48" s="1" t="s">
        <v>99</v>
      </c>
      <c r="B48" s="1" t="n">
        <v>5884049</v>
      </c>
      <c r="C48" s="1" t="n">
        <v>-3224995</v>
      </c>
      <c r="D48" s="1" t="n">
        <v>-17175303</v>
      </c>
      <c r="E48" s="1" t="n">
        <v>-14516248</v>
      </c>
      <c r="F48" s="1" t="n">
        <v>44602386</v>
      </c>
      <c r="G48" s="1" t="n">
        <v>2659054</v>
      </c>
      <c r="H48" s="1" t="n">
        <v>1453869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35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9" min="8" style="1" width="13"/>
  </cols>
  <sheetData>
    <row r="1" customFormat="false" ht="28.35" hidden="false" customHeight="false" outlineLevel="0" collapsed="false">
      <c r="A1" s="13" t="s">
        <v>146</v>
      </c>
      <c r="B1" s="13" t="s">
        <v>45</v>
      </c>
      <c r="C1" s="13" t="s">
        <v>147</v>
      </c>
      <c r="D1" s="13" t="s">
        <v>148</v>
      </c>
      <c r="E1" s="13" t="s">
        <v>149</v>
      </c>
      <c r="F1" s="13" t="s">
        <v>150</v>
      </c>
      <c r="G1" s="13" t="s">
        <v>151</v>
      </c>
      <c r="H1" s="13" t="s">
        <v>152</v>
      </c>
      <c r="I1" s="13" t="s">
        <v>153</v>
      </c>
    </row>
    <row r="2" customFormat="false" ht="15" hidden="false" customHeight="false" outlineLevel="0" collapsed="false">
      <c r="A2" s="1" t="s">
        <v>154</v>
      </c>
      <c r="B2" s="1" t="s">
        <v>51</v>
      </c>
      <c r="C2" s="1" t="s">
        <v>155</v>
      </c>
      <c r="D2" s="1" t="s">
        <v>156</v>
      </c>
      <c r="E2" s="1" t="s">
        <v>157</v>
      </c>
      <c r="F2" s="1" t="n">
        <v>776294</v>
      </c>
      <c r="G2" s="1" t="n">
        <v>774702</v>
      </c>
      <c r="H2" s="1" t="n">
        <v>-1592</v>
      </c>
      <c r="I2" s="1" t="s">
        <v>158</v>
      </c>
    </row>
    <row r="3" customFormat="false" ht="15" hidden="false" customHeight="false" outlineLevel="0" collapsed="false">
      <c r="A3" s="1" t="s">
        <v>159</v>
      </c>
      <c r="B3" s="1" t="s">
        <v>51</v>
      </c>
      <c r="C3" s="1" t="s">
        <v>160</v>
      </c>
      <c r="D3" s="1" t="s">
        <v>156</v>
      </c>
      <c r="E3" s="1" t="s">
        <v>157</v>
      </c>
      <c r="F3" s="1" t="n">
        <v>437291</v>
      </c>
      <c r="G3" s="1" t="n">
        <v>400075</v>
      </c>
      <c r="H3" s="1" t="n">
        <v>-37216</v>
      </c>
      <c r="I3" s="1" t="s">
        <v>158</v>
      </c>
    </row>
    <row r="4" customFormat="false" ht="15" hidden="false" customHeight="false" outlineLevel="0" collapsed="false">
      <c r="A4" s="1" t="s">
        <v>161</v>
      </c>
      <c r="B4" s="1" t="s">
        <v>51</v>
      </c>
      <c r="C4" s="1" t="s">
        <v>162</v>
      </c>
      <c r="D4" s="1" t="s">
        <v>156</v>
      </c>
      <c r="E4" s="1" t="s">
        <v>157</v>
      </c>
      <c r="F4" s="1" t="n">
        <v>190052</v>
      </c>
      <c r="G4" s="1" t="n">
        <v>145076</v>
      </c>
      <c r="H4" s="1" t="n">
        <v>-44977</v>
      </c>
      <c r="I4" s="1" t="s">
        <v>158</v>
      </c>
    </row>
    <row r="5" customFormat="false" ht="15" hidden="false" customHeight="false" outlineLevel="0" collapsed="false">
      <c r="A5" s="1" t="s">
        <v>163</v>
      </c>
      <c r="B5" s="1" t="s">
        <v>51</v>
      </c>
      <c r="C5" s="1" t="s">
        <v>164</v>
      </c>
      <c r="D5" s="1" t="s">
        <v>156</v>
      </c>
      <c r="E5" s="1" t="s">
        <v>165</v>
      </c>
      <c r="F5" s="1" t="n">
        <v>181568</v>
      </c>
      <c r="G5" s="1" t="n">
        <v>196508</v>
      </c>
      <c r="H5" s="1" t="n">
        <v>14940</v>
      </c>
      <c r="I5" s="1" t="s">
        <v>158</v>
      </c>
    </row>
    <row r="6" customFormat="false" ht="15" hidden="false" customHeight="false" outlineLevel="0" collapsed="false">
      <c r="A6" s="1" t="s">
        <v>166</v>
      </c>
      <c r="B6" s="1" t="s">
        <v>51</v>
      </c>
      <c r="C6" s="1" t="s">
        <v>167</v>
      </c>
      <c r="D6" s="1" t="s">
        <v>168</v>
      </c>
      <c r="E6" s="1" t="s">
        <v>165</v>
      </c>
      <c r="F6" s="1" t="n">
        <v>317891</v>
      </c>
      <c r="G6" s="1" t="n">
        <v>341214</v>
      </c>
      <c r="H6" s="1" t="n">
        <v>23323</v>
      </c>
      <c r="I6" s="1" t="s">
        <v>158</v>
      </c>
    </row>
    <row r="7" customFormat="false" ht="15" hidden="false" customHeight="false" outlineLevel="0" collapsed="false">
      <c r="A7" s="1" t="s">
        <v>169</v>
      </c>
      <c r="B7" s="1" t="s">
        <v>51</v>
      </c>
      <c r="C7" s="1" t="s">
        <v>170</v>
      </c>
      <c r="D7" s="1" t="s">
        <v>168</v>
      </c>
      <c r="E7" s="1" t="s">
        <v>157</v>
      </c>
      <c r="F7" s="1" t="n">
        <v>118279</v>
      </c>
      <c r="G7" s="1" t="n">
        <v>115170</v>
      </c>
      <c r="H7" s="1" t="n">
        <v>-3109</v>
      </c>
      <c r="I7" s="1" t="s">
        <v>158</v>
      </c>
    </row>
    <row r="8" customFormat="false" ht="15" hidden="false" customHeight="false" outlineLevel="0" collapsed="false">
      <c r="A8" s="1" t="s">
        <v>171</v>
      </c>
      <c r="B8" s="1" t="s">
        <v>53</v>
      </c>
      <c r="C8" s="1" t="s">
        <v>155</v>
      </c>
      <c r="D8" s="1" t="s">
        <v>156</v>
      </c>
      <c r="E8" s="1" t="s">
        <v>172</v>
      </c>
      <c r="F8" s="1" t="n">
        <v>1245317</v>
      </c>
      <c r="G8" s="1" t="n">
        <v>1315912</v>
      </c>
      <c r="H8" s="1" t="n">
        <v>70595</v>
      </c>
      <c r="I8" s="1" t="s">
        <v>158</v>
      </c>
    </row>
    <row r="9" customFormat="false" ht="15" hidden="false" customHeight="false" outlineLevel="0" collapsed="false">
      <c r="A9" s="1" t="s">
        <v>173</v>
      </c>
      <c r="B9" s="1" t="s">
        <v>53</v>
      </c>
      <c r="C9" s="1" t="s">
        <v>160</v>
      </c>
      <c r="D9" s="1" t="s">
        <v>156</v>
      </c>
      <c r="E9" s="1" t="s">
        <v>172</v>
      </c>
      <c r="F9" s="1" t="n">
        <v>735307</v>
      </c>
      <c r="G9" s="1" t="n">
        <v>760539</v>
      </c>
      <c r="H9" s="1" t="n">
        <v>25232</v>
      </c>
      <c r="I9" s="1" t="s">
        <v>158</v>
      </c>
    </row>
    <row r="10" customFormat="false" ht="15" hidden="false" customHeight="false" outlineLevel="0" collapsed="false">
      <c r="A10" s="1" t="s">
        <v>174</v>
      </c>
      <c r="B10" s="1" t="s">
        <v>53</v>
      </c>
      <c r="C10" s="1" t="s">
        <v>162</v>
      </c>
      <c r="D10" s="1" t="s">
        <v>156</v>
      </c>
      <c r="E10" s="1" t="s">
        <v>165</v>
      </c>
      <c r="F10" s="1" t="n">
        <v>270980</v>
      </c>
      <c r="G10" s="1" t="n">
        <v>279908</v>
      </c>
      <c r="H10" s="1" t="n">
        <v>8929</v>
      </c>
      <c r="I10" s="1" t="s">
        <v>158</v>
      </c>
    </row>
    <row r="11" customFormat="false" ht="15" hidden="false" customHeight="false" outlineLevel="0" collapsed="false">
      <c r="A11" s="1" t="s">
        <v>175</v>
      </c>
      <c r="B11" s="1" t="s">
        <v>53</v>
      </c>
      <c r="C11" s="1" t="s">
        <v>164</v>
      </c>
      <c r="D11" s="1" t="s">
        <v>156</v>
      </c>
      <c r="E11" s="1" t="s">
        <v>157</v>
      </c>
      <c r="F11" s="1" t="n">
        <v>271904</v>
      </c>
      <c r="G11" s="1" t="n">
        <v>242755</v>
      </c>
      <c r="H11" s="1" t="n">
        <v>-29149</v>
      </c>
      <c r="I11" s="1" t="s">
        <v>158</v>
      </c>
    </row>
    <row r="12" customFormat="false" ht="15" hidden="false" customHeight="false" outlineLevel="0" collapsed="false">
      <c r="A12" s="1" t="s">
        <v>176</v>
      </c>
      <c r="B12" s="1" t="s">
        <v>53</v>
      </c>
      <c r="C12" s="1" t="s">
        <v>167</v>
      </c>
      <c r="D12" s="1" t="s">
        <v>168</v>
      </c>
      <c r="E12" s="1" t="s">
        <v>172</v>
      </c>
      <c r="F12" s="1" t="n">
        <v>394948</v>
      </c>
      <c r="G12" s="1" t="n">
        <v>362142</v>
      </c>
      <c r="H12" s="1" t="n">
        <v>-32806</v>
      </c>
      <c r="I12" s="1" t="s">
        <v>158</v>
      </c>
    </row>
    <row r="13" customFormat="false" ht="15" hidden="false" customHeight="false" outlineLevel="0" collapsed="false">
      <c r="A13" s="1" t="s">
        <v>177</v>
      </c>
      <c r="B13" s="1" t="s">
        <v>53</v>
      </c>
      <c r="C13" s="1" t="s">
        <v>170</v>
      </c>
      <c r="D13" s="1" t="s">
        <v>168</v>
      </c>
      <c r="E13" s="1" t="s">
        <v>157</v>
      </c>
      <c r="F13" s="1" t="n">
        <v>143848</v>
      </c>
      <c r="G13" s="1" t="n">
        <v>158983</v>
      </c>
      <c r="H13" s="1" t="n">
        <v>15135</v>
      </c>
      <c r="I13" s="1" t="s">
        <v>158</v>
      </c>
    </row>
    <row r="14" customFormat="false" ht="15" hidden="false" customHeight="false" outlineLevel="0" collapsed="false">
      <c r="A14" s="1" t="s">
        <v>178</v>
      </c>
      <c r="B14" s="1" t="s">
        <v>54</v>
      </c>
      <c r="C14" s="1" t="s">
        <v>155</v>
      </c>
      <c r="D14" s="1" t="s">
        <v>156</v>
      </c>
      <c r="E14" s="1" t="s">
        <v>157</v>
      </c>
      <c r="F14" s="1" t="n">
        <v>996730</v>
      </c>
      <c r="G14" s="1" t="n">
        <v>1026247</v>
      </c>
      <c r="H14" s="1" t="n">
        <v>29517</v>
      </c>
      <c r="I14" s="1" t="s">
        <v>158</v>
      </c>
    </row>
    <row r="15" customFormat="false" ht="15" hidden="false" customHeight="false" outlineLevel="0" collapsed="false">
      <c r="A15" s="1" t="s">
        <v>179</v>
      </c>
      <c r="B15" s="1" t="s">
        <v>54</v>
      </c>
      <c r="C15" s="1" t="s">
        <v>160</v>
      </c>
      <c r="D15" s="1" t="s">
        <v>156</v>
      </c>
      <c r="E15" s="1" t="s">
        <v>180</v>
      </c>
      <c r="F15" s="1" t="n">
        <v>544788</v>
      </c>
      <c r="G15" s="1" t="n">
        <v>653538</v>
      </c>
      <c r="H15" s="1" t="n">
        <v>108750</v>
      </c>
      <c r="I15" s="1" t="s">
        <v>158</v>
      </c>
    </row>
    <row r="16" customFormat="false" ht="15" hidden="false" customHeight="false" outlineLevel="0" collapsed="false">
      <c r="A16" s="1" t="s">
        <v>181</v>
      </c>
      <c r="B16" s="1" t="s">
        <v>54</v>
      </c>
      <c r="C16" s="1" t="s">
        <v>162</v>
      </c>
      <c r="D16" s="1" t="s">
        <v>156</v>
      </c>
      <c r="E16" s="1" t="s">
        <v>157</v>
      </c>
      <c r="F16" s="1" t="n">
        <v>236862</v>
      </c>
      <c r="G16" s="1" t="n">
        <v>261356</v>
      </c>
      <c r="H16" s="1" t="n">
        <v>24494</v>
      </c>
      <c r="I16" s="1" t="s">
        <v>158</v>
      </c>
    </row>
    <row r="17" customFormat="false" ht="15" hidden="false" customHeight="false" outlineLevel="0" collapsed="false">
      <c r="A17" s="1" t="s">
        <v>182</v>
      </c>
      <c r="B17" s="1" t="s">
        <v>54</v>
      </c>
      <c r="C17" s="1" t="s">
        <v>164</v>
      </c>
      <c r="D17" s="1" t="s">
        <v>156</v>
      </c>
      <c r="E17" s="1" t="s">
        <v>172</v>
      </c>
      <c r="F17" s="1" t="n">
        <v>205247</v>
      </c>
      <c r="G17" s="1" t="n">
        <v>214649</v>
      </c>
      <c r="H17" s="1" t="n">
        <v>9403</v>
      </c>
      <c r="I17" s="1" t="s">
        <v>158</v>
      </c>
    </row>
    <row r="18" customFormat="false" ht="15" hidden="false" customHeight="false" outlineLevel="0" collapsed="false">
      <c r="A18" s="1" t="s">
        <v>183</v>
      </c>
      <c r="B18" s="1" t="s">
        <v>54</v>
      </c>
      <c r="C18" s="1" t="s">
        <v>167</v>
      </c>
      <c r="D18" s="1" t="s">
        <v>168</v>
      </c>
      <c r="E18" s="1" t="s">
        <v>165</v>
      </c>
      <c r="F18" s="1" t="n">
        <v>351913</v>
      </c>
      <c r="G18" s="1" t="n">
        <v>381600</v>
      </c>
      <c r="H18" s="1" t="n">
        <v>29687</v>
      </c>
      <c r="I18" s="1" t="s">
        <v>158</v>
      </c>
    </row>
    <row r="19" customFormat="false" ht="15" hidden="false" customHeight="false" outlineLevel="0" collapsed="false">
      <c r="A19" s="1" t="s">
        <v>184</v>
      </c>
      <c r="B19" s="1" t="s">
        <v>54</v>
      </c>
      <c r="C19" s="1" t="s">
        <v>170</v>
      </c>
      <c r="D19" s="1" t="s">
        <v>168</v>
      </c>
      <c r="E19" s="1" t="s">
        <v>157</v>
      </c>
      <c r="F19" s="1" t="n">
        <v>144686</v>
      </c>
      <c r="G19" s="1" t="n">
        <v>150519</v>
      </c>
      <c r="H19" s="1" t="n">
        <v>5833</v>
      </c>
      <c r="I19" s="1" t="s">
        <v>158</v>
      </c>
    </row>
    <row r="20" customFormat="false" ht="15" hidden="false" customHeight="false" outlineLevel="0" collapsed="false">
      <c r="A20" s="1" t="s">
        <v>185</v>
      </c>
      <c r="B20" s="1" t="s">
        <v>55</v>
      </c>
      <c r="C20" s="1" t="s">
        <v>155</v>
      </c>
      <c r="D20" s="1" t="s">
        <v>156</v>
      </c>
      <c r="E20" s="1" t="s">
        <v>165</v>
      </c>
      <c r="F20" s="1" t="n">
        <v>1030660</v>
      </c>
      <c r="G20" s="1" t="n">
        <v>1065129</v>
      </c>
      <c r="H20" s="1" t="n">
        <v>34469</v>
      </c>
      <c r="I20" s="1" t="s">
        <v>158</v>
      </c>
    </row>
    <row r="21" customFormat="false" ht="15" hidden="false" customHeight="false" outlineLevel="0" collapsed="false">
      <c r="A21" s="1" t="s">
        <v>186</v>
      </c>
      <c r="B21" s="1" t="s">
        <v>55</v>
      </c>
      <c r="C21" s="1" t="s">
        <v>160</v>
      </c>
      <c r="D21" s="1" t="s">
        <v>156</v>
      </c>
      <c r="E21" s="1" t="s">
        <v>157</v>
      </c>
      <c r="F21" s="1" t="n">
        <v>578408</v>
      </c>
      <c r="G21" s="1" t="n">
        <v>583648</v>
      </c>
      <c r="H21" s="1" t="n">
        <v>5241</v>
      </c>
      <c r="I21" s="1" t="s">
        <v>158</v>
      </c>
    </row>
    <row r="22" customFormat="false" ht="15" hidden="false" customHeight="false" outlineLevel="0" collapsed="false">
      <c r="A22" s="1" t="s">
        <v>187</v>
      </c>
      <c r="B22" s="1" t="s">
        <v>55</v>
      </c>
      <c r="C22" s="1" t="s">
        <v>162</v>
      </c>
      <c r="D22" s="1" t="s">
        <v>156</v>
      </c>
      <c r="E22" s="1" t="s">
        <v>165</v>
      </c>
      <c r="F22" s="1" t="n">
        <v>254377</v>
      </c>
      <c r="G22" s="1" t="n">
        <v>262630</v>
      </c>
      <c r="H22" s="1" t="n">
        <v>8253</v>
      </c>
      <c r="I22" s="1" t="s">
        <v>158</v>
      </c>
    </row>
    <row r="23" customFormat="false" ht="15" hidden="false" customHeight="false" outlineLevel="0" collapsed="false">
      <c r="A23" s="1" t="s">
        <v>188</v>
      </c>
      <c r="B23" s="1" t="s">
        <v>55</v>
      </c>
      <c r="C23" s="1" t="s">
        <v>164</v>
      </c>
      <c r="D23" s="1" t="s">
        <v>156</v>
      </c>
      <c r="E23" s="1" t="s">
        <v>172</v>
      </c>
      <c r="F23" s="1" t="n">
        <v>175027</v>
      </c>
      <c r="G23" s="1" t="n">
        <v>175370</v>
      </c>
      <c r="H23" s="1" t="n">
        <v>343</v>
      </c>
      <c r="I23" s="1" t="s">
        <v>158</v>
      </c>
    </row>
    <row r="24" customFormat="false" ht="15" hidden="false" customHeight="false" outlineLevel="0" collapsed="false">
      <c r="A24" s="1" t="s">
        <v>189</v>
      </c>
      <c r="B24" s="1" t="s">
        <v>55</v>
      </c>
      <c r="C24" s="1" t="s">
        <v>167</v>
      </c>
      <c r="D24" s="1" t="s">
        <v>168</v>
      </c>
      <c r="E24" s="1" t="s">
        <v>165</v>
      </c>
      <c r="F24" s="1" t="n">
        <v>383649</v>
      </c>
      <c r="G24" s="1" t="n">
        <v>371534</v>
      </c>
      <c r="H24" s="1" t="n">
        <v>-12115</v>
      </c>
      <c r="I24" s="1" t="s">
        <v>158</v>
      </c>
    </row>
    <row r="25" customFormat="false" ht="15" hidden="false" customHeight="false" outlineLevel="0" collapsed="false">
      <c r="A25" s="1" t="s">
        <v>190</v>
      </c>
      <c r="B25" s="1" t="s">
        <v>55</v>
      </c>
      <c r="C25" s="1" t="s">
        <v>170</v>
      </c>
      <c r="D25" s="1" t="s">
        <v>168</v>
      </c>
      <c r="E25" s="1" t="s">
        <v>180</v>
      </c>
      <c r="F25" s="1" t="n">
        <v>139130</v>
      </c>
      <c r="G25" s="1" t="n">
        <v>144621</v>
      </c>
      <c r="H25" s="1" t="n">
        <v>5491</v>
      </c>
      <c r="I25" s="1" t="s">
        <v>158</v>
      </c>
    </row>
    <row r="26" customFormat="false" ht="15" hidden="false" customHeight="false" outlineLevel="0" collapsed="false">
      <c r="A26" s="1" t="s">
        <v>191</v>
      </c>
      <c r="B26" s="1" t="s">
        <v>56</v>
      </c>
      <c r="C26" s="1" t="s">
        <v>155</v>
      </c>
      <c r="D26" s="1" t="s">
        <v>156</v>
      </c>
      <c r="E26" s="1" t="s">
        <v>180</v>
      </c>
      <c r="F26" s="1" t="n">
        <v>950946</v>
      </c>
      <c r="G26" s="1" t="n">
        <v>935526</v>
      </c>
      <c r="H26" s="1" t="n">
        <v>-15420</v>
      </c>
      <c r="I26" s="1" t="s">
        <v>158</v>
      </c>
    </row>
    <row r="27" customFormat="false" ht="15" hidden="false" customHeight="false" outlineLevel="0" collapsed="false">
      <c r="A27" s="1" t="s">
        <v>192</v>
      </c>
      <c r="B27" s="1" t="s">
        <v>56</v>
      </c>
      <c r="C27" s="1" t="s">
        <v>160</v>
      </c>
      <c r="D27" s="1" t="s">
        <v>156</v>
      </c>
      <c r="E27" s="1" t="s">
        <v>180</v>
      </c>
      <c r="F27" s="1" t="n">
        <v>589800</v>
      </c>
      <c r="G27" s="1" t="n">
        <v>639801</v>
      </c>
      <c r="H27" s="1" t="n">
        <v>50001</v>
      </c>
      <c r="I27" s="1" t="s">
        <v>158</v>
      </c>
    </row>
    <row r="28" customFormat="false" ht="15" hidden="false" customHeight="false" outlineLevel="0" collapsed="false">
      <c r="A28" s="1" t="s">
        <v>193</v>
      </c>
      <c r="B28" s="1" t="s">
        <v>56</v>
      </c>
      <c r="C28" s="1" t="s">
        <v>162</v>
      </c>
      <c r="D28" s="1" t="s">
        <v>156</v>
      </c>
      <c r="E28" s="1" t="s">
        <v>180</v>
      </c>
      <c r="F28" s="1" t="n">
        <v>238942</v>
      </c>
      <c r="G28" s="1" t="n">
        <v>239284</v>
      </c>
      <c r="H28" s="1" t="n">
        <v>341</v>
      </c>
      <c r="I28" s="1" t="s">
        <v>158</v>
      </c>
    </row>
    <row r="29" customFormat="false" ht="15" hidden="false" customHeight="false" outlineLevel="0" collapsed="false">
      <c r="A29" s="1" t="s">
        <v>194</v>
      </c>
      <c r="B29" s="1" t="s">
        <v>56</v>
      </c>
      <c r="C29" s="1" t="s">
        <v>164</v>
      </c>
      <c r="D29" s="1" t="s">
        <v>156</v>
      </c>
      <c r="E29" s="1" t="s">
        <v>172</v>
      </c>
      <c r="F29" s="1" t="n">
        <v>209347</v>
      </c>
      <c r="G29" s="1" t="n">
        <v>198857</v>
      </c>
      <c r="H29" s="1" t="n">
        <v>-10490</v>
      </c>
      <c r="I29" s="1" t="s">
        <v>158</v>
      </c>
    </row>
    <row r="30" customFormat="false" ht="15" hidden="false" customHeight="false" outlineLevel="0" collapsed="false">
      <c r="A30" s="1" t="s">
        <v>195</v>
      </c>
      <c r="B30" s="1" t="s">
        <v>56</v>
      </c>
      <c r="C30" s="1" t="s">
        <v>167</v>
      </c>
      <c r="D30" s="1" t="s">
        <v>168</v>
      </c>
      <c r="E30" s="1" t="s">
        <v>165</v>
      </c>
      <c r="F30" s="1" t="n">
        <v>347381</v>
      </c>
      <c r="G30" s="1" t="n">
        <v>365317</v>
      </c>
      <c r="H30" s="1" t="n">
        <v>17935</v>
      </c>
      <c r="I30" s="1" t="s">
        <v>158</v>
      </c>
    </row>
    <row r="31" customFormat="false" ht="15" hidden="false" customHeight="false" outlineLevel="0" collapsed="false">
      <c r="A31" s="1" t="s">
        <v>196</v>
      </c>
      <c r="B31" s="1" t="s">
        <v>56</v>
      </c>
      <c r="C31" s="1" t="s">
        <v>170</v>
      </c>
      <c r="D31" s="1" t="s">
        <v>168</v>
      </c>
      <c r="E31" s="1" t="s">
        <v>165</v>
      </c>
      <c r="F31" s="1" t="n">
        <v>178054</v>
      </c>
      <c r="G31" s="1" t="n">
        <v>200559</v>
      </c>
      <c r="H31" s="1" t="n">
        <v>22505</v>
      </c>
      <c r="I31" s="1" t="s">
        <v>158</v>
      </c>
    </row>
    <row r="32" customFormat="false" ht="15" hidden="false" customHeight="false" outlineLevel="0" collapsed="false">
      <c r="A32" s="1" t="s">
        <v>197</v>
      </c>
      <c r="B32" s="1" t="s">
        <v>57</v>
      </c>
      <c r="C32" s="1" t="s">
        <v>155</v>
      </c>
      <c r="D32" s="1" t="s">
        <v>156</v>
      </c>
      <c r="E32" s="1" t="s">
        <v>172</v>
      </c>
      <c r="F32" s="1" t="n">
        <v>943589</v>
      </c>
      <c r="G32" s="1" t="n">
        <v>963284</v>
      </c>
      <c r="H32" s="1" t="n">
        <v>19695</v>
      </c>
      <c r="I32" s="1" t="s">
        <v>158</v>
      </c>
    </row>
    <row r="33" customFormat="false" ht="15" hidden="false" customHeight="false" outlineLevel="0" collapsed="false">
      <c r="A33" s="1" t="s">
        <v>198</v>
      </c>
      <c r="B33" s="1" t="s">
        <v>57</v>
      </c>
      <c r="C33" s="1" t="s">
        <v>160</v>
      </c>
      <c r="D33" s="1" t="s">
        <v>156</v>
      </c>
      <c r="E33" s="1" t="s">
        <v>172</v>
      </c>
      <c r="F33" s="1" t="n">
        <v>533265</v>
      </c>
      <c r="G33" s="1" t="n">
        <v>516835</v>
      </c>
      <c r="H33" s="1" t="n">
        <v>-16430</v>
      </c>
      <c r="I33" s="1" t="s">
        <v>158</v>
      </c>
    </row>
    <row r="34" customFormat="false" ht="15" hidden="false" customHeight="false" outlineLevel="0" collapsed="false">
      <c r="A34" s="1" t="s">
        <v>199</v>
      </c>
      <c r="B34" s="1" t="s">
        <v>57</v>
      </c>
      <c r="C34" s="1" t="s">
        <v>162</v>
      </c>
      <c r="D34" s="1" t="s">
        <v>156</v>
      </c>
      <c r="E34" s="1" t="s">
        <v>172</v>
      </c>
      <c r="F34" s="1" t="n">
        <v>237896</v>
      </c>
      <c r="G34" s="1" t="n">
        <v>257996</v>
      </c>
      <c r="H34" s="1" t="n">
        <v>20100</v>
      </c>
      <c r="I34" s="1" t="s">
        <v>158</v>
      </c>
    </row>
    <row r="35" customFormat="false" ht="15" hidden="false" customHeight="false" outlineLevel="0" collapsed="false">
      <c r="A35" s="1" t="s">
        <v>200</v>
      </c>
      <c r="B35" s="1" t="s">
        <v>57</v>
      </c>
      <c r="C35" s="1" t="s">
        <v>164</v>
      </c>
      <c r="D35" s="1" t="s">
        <v>156</v>
      </c>
      <c r="E35" s="1" t="s">
        <v>157</v>
      </c>
      <c r="F35" s="1" t="n">
        <v>212618</v>
      </c>
      <c r="G35" s="1" t="n">
        <v>228213</v>
      </c>
      <c r="H35" s="1" t="n">
        <v>15595</v>
      </c>
      <c r="I35" s="1" t="s">
        <v>158</v>
      </c>
    </row>
    <row r="36" customFormat="false" ht="15" hidden="false" customHeight="false" outlineLevel="0" collapsed="false">
      <c r="A36" s="1" t="s">
        <v>201</v>
      </c>
      <c r="B36" s="1" t="s">
        <v>57</v>
      </c>
      <c r="C36" s="1" t="s">
        <v>167</v>
      </c>
      <c r="D36" s="1" t="s">
        <v>168</v>
      </c>
      <c r="E36" s="1" t="s">
        <v>165</v>
      </c>
      <c r="F36" s="1" t="n">
        <v>344465</v>
      </c>
      <c r="G36" s="1" t="n">
        <v>348098</v>
      </c>
      <c r="H36" s="1" t="n">
        <v>3633</v>
      </c>
      <c r="I36" s="1" t="s">
        <v>158</v>
      </c>
    </row>
    <row r="37" customFormat="false" ht="15" hidden="false" customHeight="false" outlineLevel="0" collapsed="false">
      <c r="A37" s="1" t="s">
        <v>202</v>
      </c>
      <c r="B37" s="1" t="s">
        <v>57</v>
      </c>
      <c r="C37" s="1" t="s">
        <v>170</v>
      </c>
      <c r="D37" s="1" t="s">
        <v>168</v>
      </c>
      <c r="E37" s="1" t="s">
        <v>157</v>
      </c>
      <c r="F37" s="1" t="n">
        <v>134732</v>
      </c>
      <c r="G37" s="1" t="n">
        <v>123714</v>
      </c>
      <c r="H37" s="1" t="n">
        <v>-11018</v>
      </c>
      <c r="I37" s="1" t="s">
        <v>158</v>
      </c>
    </row>
    <row r="38" customFormat="false" ht="15" hidden="false" customHeight="false" outlineLevel="0" collapsed="false">
      <c r="A38" s="1" t="s">
        <v>203</v>
      </c>
      <c r="B38" s="1" t="s">
        <v>58</v>
      </c>
      <c r="C38" s="1" t="s">
        <v>155</v>
      </c>
      <c r="D38" s="1" t="s">
        <v>156</v>
      </c>
      <c r="E38" s="1" t="s">
        <v>157</v>
      </c>
      <c r="F38" s="1" t="n">
        <v>821228</v>
      </c>
      <c r="G38" s="1" t="n">
        <v>797132</v>
      </c>
      <c r="H38" s="1" t="n">
        <v>-24096</v>
      </c>
      <c r="I38" s="1" t="s">
        <v>158</v>
      </c>
    </row>
    <row r="39" customFormat="false" ht="15" hidden="false" customHeight="false" outlineLevel="0" collapsed="false">
      <c r="A39" s="1" t="s">
        <v>204</v>
      </c>
      <c r="B39" s="1" t="s">
        <v>58</v>
      </c>
      <c r="C39" s="1" t="s">
        <v>160</v>
      </c>
      <c r="D39" s="1" t="s">
        <v>156</v>
      </c>
      <c r="E39" s="1" t="s">
        <v>172</v>
      </c>
      <c r="F39" s="1" t="n">
        <v>636907</v>
      </c>
      <c r="G39" s="1" t="n">
        <v>628662</v>
      </c>
      <c r="H39" s="1" t="n">
        <v>-8245</v>
      </c>
      <c r="I39" s="1" t="s">
        <v>158</v>
      </c>
    </row>
    <row r="40" customFormat="false" ht="15" hidden="false" customHeight="false" outlineLevel="0" collapsed="false">
      <c r="A40" s="1" t="s">
        <v>205</v>
      </c>
      <c r="B40" s="1" t="s">
        <v>58</v>
      </c>
      <c r="C40" s="1" t="s">
        <v>162</v>
      </c>
      <c r="D40" s="1" t="s">
        <v>156</v>
      </c>
      <c r="E40" s="1" t="s">
        <v>157</v>
      </c>
      <c r="F40" s="1" t="n">
        <v>238512</v>
      </c>
      <c r="G40" s="1" t="n">
        <v>234972</v>
      </c>
      <c r="H40" s="1" t="n">
        <v>-3541</v>
      </c>
      <c r="I40" s="1" t="s">
        <v>158</v>
      </c>
    </row>
    <row r="41" customFormat="false" ht="15" hidden="false" customHeight="false" outlineLevel="0" collapsed="false">
      <c r="A41" s="1" t="s">
        <v>206</v>
      </c>
      <c r="B41" s="1" t="s">
        <v>58</v>
      </c>
      <c r="C41" s="1" t="s">
        <v>164</v>
      </c>
      <c r="D41" s="1" t="s">
        <v>156</v>
      </c>
      <c r="E41" s="1" t="s">
        <v>157</v>
      </c>
      <c r="F41" s="1" t="n">
        <v>164859</v>
      </c>
      <c r="G41" s="1" t="n">
        <v>144691</v>
      </c>
      <c r="H41" s="1" t="n">
        <v>-20169</v>
      </c>
      <c r="I41" s="1" t="s">
        <v>158</v>
      </c>
    </row>
    <row r="42" customFormat="false" ht="15" hidden="false" customHeight="false" outlineLevel="0" collapsed="false">
      <c r="A42" s="1" t="s">
        <v>207</v>
      </c>
      <c r="B42" s="1" t="s">
        <v>58</v>
      </c>
      <c r="C42" s="1" t="s">
        <v>167</v>
      </c>
      <c r="D42" s="1" t="s">
        <v>168</v>
      </c>
      <c r="E42" s="1" t="s">
        <v>165</v>
      </c>
      <c r="F42" s="1" t="n">
        <v>352288</v>
      </c>
      <c r="G42" s="1" t="n">
        <v>348924</v>
      </c>
      <c r="H42" s="1" t="n">
        <v>-3364</v>
      </c>
      <c r="I42" s="1" t="s">
        <v>158</v>
      </c>
    </row>
    <row r="43" customFormat="false" ht="15" hidden="false" customHeight="false" outlineLevel="0" collapsed="false">
      <c r="A43" s="1" t="s">
        <v>208</v>
      </c>
      <c r="B43" s="1" t="s">
        <v>58</v>
      </c>
      <c r="C43" s="1" t="s">
        <v>170</v>
      </c>
      <c r="D43" s="1" t="s">
        <v>168</v>
      </c>
      <c r="E43" s="1" t="s">
        <v>172</v>
      </c>
      <c r="F43" s="1" t="n">
        <v>122870</v>
      </c>
      <c r="G43" s="1" t="n">
        <v>133443</v>
      </c>
      <c r="H43" s="1" t="n">
        <v>10574</v>
      </c>
      <c r="I43" s="1" t="s">
        <v>158</v>
      </c>
    </row>
    <row r="44" customFormat="false" ht="15" hidden="false" customHeight="false" outlineLevel="0" collapsed="false">
      <c r="A44" s="1" t="s">
        <v>209</v>
      </c>
      <c r="B44" s="1" t="s">
        <v>59</v>
      </c>
      <c r="C44" s="1" t="s">
        <v>155</v>
      </c>
      <c r="D44" s="1" t="s">
        <v>156</v>
      </c>
      <c r="E44" s="1" t="s">
        <v>157</v>
      </c>
      <c r="F44" s="1" t="n">
        <v>1012159</v>
      </c>
      <c r="G44" s="1" t="n">
        <v>1082589</v>
      </c>
      <c r="H44" s="1" t="n">
        <v>70430</v>
      </c>
      <c r="I44" s="1" t="s">
        <v>158</v>
      </c>
    </row>
    <row r="45" customFormat="false" ht="15" hidden="false" customHeight="false" outlineLevel="0" collapsed="false">
      <c r="A45" s="1" t="s">
        <v>210</v>
      </c>
      <c r="B45" s="1" t="s">
        <v>59</v>
      </c>
      <c r="C45" s="1" t="s">
        <v>160</v>
      </c>
      <c r="D45" s="1" t="s">
        <v>156</v>
      </c>
      <c r="E45" s="1" t="s">
        <v>172</v>
      </c>
      <c r="F45" s="1" t="n">
        <v>401929</v>
      </c>
      <c r="G45" s="1" t="n">
        <v>373833</v>
      </c>
      <c r="H45" s="1" t="n">
        <v>-28096</v>
      </c>
      <c r="I45" s="1" t="s">
        <v>158</v>
      </c>
    </row>
    <row r="46" customFormat="false" ht="15" hidden="false" customHeight="false" outlineLevel="0" collapsed="false">
      <c r="A46" s="1" t="s">
        <v>211</v>
      </c>
      <c r="B46" s="1" t="s">
        <v>59</v>
      </c>
      <c r="C46" s="1" t="s">
        <v>162</v>
      </c>
      <c r="D46" s="1" t="s">
        <v>156</v>
      </c>
      <c r="E46" s="1" t="s">
        <v>165</v>
      </c>
      <c r="F46" s="1" t="n">
        <v>196200</v>
      </c>
      <c r="G46" s="1" t="n">
        <v>165043</v>
      </c>
      <c r="H46" s="1" t="n">
        <v>-31157</v>
      </c>
      <c r="I46" s="1" t="s">
        <v>158</v>
      </c>
    </row>
    <row r="47" customFormat="false" ht="15" hidden="false" customHeight="false" outlineLevel="0" collapsed="false">
      <c r="A47" s="1" t="s">
        <v>212</v>
      </c>
      <c r="B47" s="1" t="s">
        <v>59</v>
      </c>
      <c r="C47" s="1" t="s">
        <v>164</v>
      </c>
      <c r="D47" s="1" t="s">
        <v>156</v>
      </c>
      <c r="E47" s="1" t="s">
        <v>172</v>
      </c>
      <c r="F47" s="1" t="n">
        <v>184254</v>
      </c>
      <c r="G47" s="1" t="n">
        <v>174464</v>
      </c>
      <c r="H47" s="1" t="n">
        <v>-9790</v>
      </c>
      <c r="I47" s="1" t="s">
        <v>158</v>
      </c>
    </row>
    <row r="48" customFormat="false" ht="15" hidden="false" customHeight="false" outlineLevel="0" collapsed="false">
      <c r="A48" s="1" t="s">
        <v>213</v>
      </c>
      <c r="B48" s="1" t="s">
        <v>59</v>
      </c>
      <c r="C48" s="1" t="s">
        <v>167</v>
      </c>
      <c r="D48" s="1" t="s">
        <v>168</v>
      </c>
      <c r="E48" s="1" t="s">
        <v>165</v>
      </c>
      <c r="F48" s="1" t="n">
        <v>285062</v>
      </c>
      <c r="G48" s="1" t="n">
        <v>291929</v>
      </c>
      <c r="H48" s="1" t="n">
        <v>6866</v>
      </c>
      <c r="I48" s="1" t="s">
        <v>158</v>
      </c>
    </row>
    <row r="49" customFormat="false" ht="15" hidden="false" customHeight="false" outlineLevel="0" collapsed="false">
      <c r="A49" s="1" t="s">
        <v>214</v>
      </c>
      <c r="B49" s="1" t="s">
        <v>59</v>
      </c>
      <c r="C49" s="1" t="s">
        <v>170</v>
      </c>
      <c r="D49" s="1" t="s">
        <v>168</v>
      </c>
      <c r="E49" s="1" t="s">
        <v>157</v>
      </c>
      <c r="F49" s="1" t="n">
        <v>103649</v>
      </c>
      <c r="G49" s="1" t="n">
        <v>91674</v>
      </c>
      <c r="H49" s="1" t="n">
        <v>-11974</v>
      </c>
      <c r="I49" s="1" t="s">
        <v>158</v>
      </c>
    </row>
    <row r="50" customFormat="false" ht="15" hidden="false" customHeight="false" outlineLevel="0" collapsed="false">
      <c r="A50" s="1" t="s">
        <v>215</v>
      </c>
      <c r="B50" s="1" t="s">
        <v>60</v>
      </c>
      <c r="C50" s="1" t="s">
        <v>155</v>
      </c>
      <c r="D50" s="1" t="s">
        <v>156</v>
      </c>
      <c r="E50" s="1" t="s">
        <v>165</v>
      </c>
      <c r="F50" s="1" t="n">
        <v>1144392</v>
      </c>
      <c r="G50" s="1" t="n">
        <v>1252015</v>
      </c>
      <c r="H50" s="1" t="n">
        <v>107623</v>
      </c>
      <c r="I50" s="1" t="s">
        <v>158</v>
      </c>
    </row>
    <row r="51" customFormat="false" ht="15" hidden="false" customHeight="false" outlineLevel="0" collapsed="false">
      <c r="A51" s="1" t="s">
        <v>216</v>
      </c>
      <c r="B51" s="1" t="s">
        <v>60</v>
      </c>
      <c r="C51" s="1" t="s">
        <v>160</v>
      </c>
      <c r="D51" s="1" t="s">
        <v>156</v>
      </c>
      <c r="E51" s="1" t="s">
        <v>172</v>
      </c>
      <c r="F51" s="1" t="n">
        <v>624246</v>
      </c>
      <c r="G51" s="1" t="n">
        <v>696073</v>
      </c>
      <c r="H51" s="1" t="n">
        <v>71827</v>
      </c>
      <c r="I51" s="1" t="s">
        <v>158</v>
      </c>
    </row>
    <row r="52" customFormat="false" ht="15" hidden="false" customHeight="false" outlineLevel="0" collapsed="false">
      <c r="A52" s="1" t="s">
        <v>217</v>
      </c>
      <c r="B52" s="1" t="s">
        <v>60</v>
      </c>
      <c r="C52" s="1" t="s">
        <v>162</v>
      </c>
      <c r="D52" s="1" t="s">
        <v>156</v>
      </c>
      <c r="E52" s="1" t="s">
        <v>180</v>
      </c>
      <c r="F52" s="1" t="n">
        <v>288430</v>
      </c>
      <c r="G52" s="1" t="n">
        <v>302386</v>
      </c>
      <c r="H52" s="1" t="n">
        <v>13956</v>
      </c>
      <c r="I52" s="1" t="s">
        <v>158</v>
      </c>
    </row>
    <row r="53" customFormat="false" ht="15" hidden="false" customHeight="false" outlineLevel="0" collapsed="false">
      <c r="A53" s="1" t="s">
        <v>218</v>
      </c>
      <c r="B53" s="1" t="s">
        <v>60</v>
      </c>
      <c r="C53" s="1" t="s">
        <v>164</v>
      </c>
      <c r="D53" s="1" t="s">
        <v>156</v>
      </c>
      <c r="E53" s="1" t="s">
        <v>157</v>
      </c>
      <c r="F53" s="1" t="n">
        <v>199804</v>
      </c>
      <c r="G53" s="1" t="n">
        <v>220339</v>
      </c>
      <c r="H53" s="1" t="n">
        <v>20535</v>
      </c>
      <c r="I53" s="1" t="s">
        <v>158</v>
      </c>
    </row>
    <row r="54" customFormat="false" ht="15" hidden="false" customHeight="false" outlineLevel="0" collapsed="false">
      <c r="A54" s="1" t="s">
        <v>219</v>
      </c>
      <c r="B54" s="1" t="s">
        <v>60</v>
      </c>
      <c r="C54" s="1" t="s">
        <v>167</v>
      </c>
      <c r="D54" s="1" t="s">
        <v>168</v>
      </c>
      <c r="E54" s="1" t="s">
        <v>172</v>
      </c>
      <c r="F54" s="1" t="n">
        <v>396240</v>
      </c>
      <c r="G54" s="1" t="n">
        <v>388106</v>
      </c>
      <c r="H54" s="1" t="n">
        <v>-8134</v>
      </c>
      <c r="I54" s="1" t="s">
        <v>158</v>
      </c>
    </row>
    <row r="55" customFormat="false" ht="15" hidden="false" customHeight="false" outlineLevel="0" collapsed="false">
      <c r="A55" s="1" t="s">
        <v>220</v>
      </c>
      <c r="B55" s="1" t="s">
        <v>60</v>
      </c>
      <c r="C55" s="1" t="s">
        <v>170</v>
      </c>
      <c r="D55" s="1" t="s">
        <v>168</v>
      </c>
      <c r="E55" s="1" t="s">
        <v>157</v>
      </c>
      <c r="F55" s="1" t="n">
        <v>133226</v>
      </c>
      <c r="G55" s="1" t="n">
        <v>131621</v>
      </c>
      <c r="H55" s="1" t="n">
        <v>-1604</v>
      </c>
      <c r="I55" s="1" t="s">
        <v>158</v>
      </c>
    </row>
    <row r="56" customFormat="false" ht="15" hidden="false" customHeight="false" outlineLevel="0" collapsed="false">
      <c r="A56" s="1" t="s">
        <v>221</v>
      </c>
      <c r="B56" s="1" t="s">
        <v>61</v>
      </c>
      <c r="C56" s="1" t="s">
        <v>155</v>
      </c>
      <c r="D56" s="1" t="s">
        <v>156</v>
      </c>
      <c r="E56" s="1" t="s">
        <v>157</v>
      </c>
      <c r="F56" s="1" t="n">
        <v>866758</v>
      </c>
      <c r="G56" s="1" t="n">
        <v>787586</v>
      </c>
      <c r="H56" s="1" t="n">
        <v>-79172</v>
      </c>
      <c r="I56" s="1" t="s">
        <v>158</v>
      </c>
    </row>
    <row r="57" customFormat="false" ht="15" hidden="false" customHeight="false" outlineLevel="0" collapsed="false">
      <c r="A57" s="1" t="s">
        <v>222</v>
      </c>
      <c r="B57" s="1" t="s">
        <v>61</v>
      </c>
      <c r="C57" s="1" t="s">
        <v>160</v>
      </c>
      <c r="D57" s="1" t="s">
        <v>156</v>
      </c>
      <c r="E57" s="1" t="s">
        <v>165</v>
      </c>
      <c r="F57" s="1" t="n">
        <v>530929</v>
      </c>
      <c r="G57" s="1" t="n">
        <v>458811</v>
      </c>
      <c r="H57" s="1" t="n">
        <v>-72118</v>
      </c>
      <c r="I57" s="1" t="s">
        <v>158</v>
      </c>
    </row>
    <row r="58" customFormat="false" ht="15" hidden="false" customHeight="false" outlineLevel="0" collapsed="false">
      <c r="A58" s="1" t="s">
        <v>223</v>
      </c>
      <c r="B58" s="1" t="s">
        <v>61</v>
      </c>
      <c r="C58" s="1" t="s">
        <v>162</v>
      </c>
      <c r="D58" s="1" t="s">
        <v>156</v>
      </c>
      <c r="E58" s="1" t="s">
        <v>165</v>
      </c>
      <c r="F58" s="1" t="n">
        <v>264514</v>
      </c>
      <c r="G58" s="1" t="n">
        <v>274799</v>
      </c>
      <c r="H58" s="1" t="n">
        <v>10285</v>
      </c>
      <c r="I58" s="1" t="s">
        <v>158</v>
      </c>
    </row>
    <row r="59" customFormat="false" ht="15" hidden="false" customHeight="false" outlineLevel="0" collapsed="false">
      <c r="A59" s="1" t="s">
        <v>224</v>
      </c>
      <c r="B59" s="1" t="s">
        <v>61</v>
      </c>
      <c r="C59" s="1" t="s">
        <v>164</v>
      </c>
      <c r="D59" s="1" t="s">
        <v>156</v>
      </c>
      <c r="E59" s="1" t="s">
        <v>180</v>
      </c>
      <c r="F59" s="1" t="n">
        <v>203438</v>
      </c>
      <c r="G59" s="1" t="n">
        <v>194817</v>
      </c>
      <c r="H59" s="1" t="n">
        <v>-8621</v>
      </c>
      <c r="I59" s="1" t="s">
        <v>158</v>
      </c>
    </row>
    <row r="60" customFormat="false" ht="15" hidden="false" customHeight="false" outlineLevel="0" collapsed="false">
      <c r="A60" s="1" t="s">
        <v>225</v>
      </c>
      <c r="B60" s="1" t="s">
        <v>61</v>
      </c>
      <c r="C60" s="1" t="s">
        <v>167</v>
      </c>
      <c r="D60" s="1" t="s">
        <v>168</v>
      </c>
      <c r="E60" s="1" t="s">
        <v>157</v>
      </c>
      <c r="F60" s="1" t="n">
        <v>328533</v>
      </c>
      <c r="G60" s="1" t="n">
        <v>366466</v>
      </c>
      <c r="H60" s="1" t="n">
        <v>37933</v>
      </c>
      <c r="I60" s="1" t="s">
        <v>158</v>
      </c>
    </row>
    <row r="61" customFormat="false" ht="15" hidden="false" customHeight="false" outlineLevel="0" collapsed="false">
      <c r="A61" s="1" t="s">
        <v>226</v>
      </c>
      <c r="B61" s="1" t="s">
        <v>61</v>
      </c>
      <c r="C61" s="1" t="s">
        <v>170</v>
      </c>
      <c r="D61" s="1" t="s">
        <v>168</v>
      </c>
      <c r="E61" s="1" t="s">
        <v>180</v>
      </c>
      <c r="F61" s="1" t="n">
        <v>153642</v>
      </c>
      <c r="G61" s="1" t="n">
        <v>153326</v>
      </c>
      <c r="H61" s="1" t="n">
        <v>-316</v>
      </c>
      <c r="I61" s="1" t="s">
        <v>158</v>
      </c>
    </row>
    <row r="62" customFormat="false" ht="15" hidden="false" customHeight="false" outlineLevel="0" collapsed="false">
      <c r="A62" s="1" t="s">
        <v>227</v>
      </c>
      <c r="B62" s="1" t="s">
        <v>62</v>
      </c>
      <c r="C62" s="1" t="s">
        <v>155</v>
      </c>
      <c r="D62" s="1" t="s">
        <v>156</v>
      </c>
      <c r="E62" s="1" t="s">
        <v>157</v>
      </c>
      <c r="F62" s="1" t="n">
        <v>982040</v>
      </c>
      <c r="G62" s="1" t="n">
        <v>1035603</v>
      </c>
      <c r="H62" s="1" t="n">
        <v>53563</v>
      </c>
      <c r="I62" s="1" t="s">
        <v>158</v>
      </c>
    </row>
    <row r="63" customFormat="false" ht="15" hidden="false" customHeight="false" outlineLevel="0" collapsed="false">
      <c r="A63" s="1" t="s">
        <v>228</v>
      </c>
      <c r="B63" s="1" t="s">
        <v>62</v>
      </c>
      <c r="C63" s="1" t="s">
        <v>160</v>
      </c>
      <c r="D63" s="1" t="s">
        <v>156</v>
      </c>
      <c r="E63" s="1" t="s">
        <v>157</v>
      </c>
      <c r="F63" s="1" t="n">
        <v>550475</v>
      </c>
      <c r="G63" s="1" t="n">
        <v>593626</v>
      </c>
      <c r="H63" s="1" t="n">
        <v>43151</v>
      </c>
      <c r="I63" s="1" t="s">
        <v>158</v>
      </c>
    </row>
    <row r="64" customFormat="false" ht="15" hidden="false" customHeight="false" outlineLevel="0" collapsed="false">
      <c r="A64" s="1" t="s">
        <v>229</v>
      </c>
      <c r="B64" s="1" t="s">
        <v>62</v>
      </c>
      <c r="C64" s="1" t="s">
        <v>162</v>
      </c>
      <c r="D64" s="1" t="s">
        <v>156</v>
      </c>
      <c r="E64" s="1" t="s">
        <v>172</v>
      </c>
      <c r="F64" s="1" t="n">
        <v>249442</v>
      </c>
      <c r="G64" s="1" t="n">
        <v>265228</v>
      </c>
      <c r="H64" s="1" t="n">
        <v>15786</v>
      </c>
      <c r="I64" s="1" t="s">
        <v>158</v>
      </c>
    </row>
    <row r="65" customFormat="false" ht="15" hidden="false" customHeight="false" outlineLevel="0" collapsed="false">
      <c r="A65" s="1" t="s">
        <v>230</v>
      </c>
      <c r="B65" s="1" t="s">
        <v>62</v>
      </c>
      <c r="C65" s="1" t="s">
        <v>164</v>
      </c>
      <c r="D65" s="1" t="s">
        <v>156</v>
      </c>
      <c r="E65" s="1" t="s">
        <v>157</v>
      </c>
      <c r="F65" s="1" t="n">
        <v>207071</v>
      </c>
      <c r="G65" s="1" t="n">
        <v>212855</v>
      </c>
      <c r="H65" s="1" t="n">
        <v>5785</v>
      </c>
      <c r="I65" s="1" t="s">
        <v>158</v>
      </c>
    </row>
    <row r="66" customFormat="false" ht="15" hidden="false" customHeight="false" outlineLevel="0" collapsed="false">
      <c r="A66" s="1" t="s">
        <v>231</v>
      </c>
      <c r="B66" s="1" t="s">
        <v>62</v>
      </c>
      <c r="C66" s="1" t="s">
        <v>167</v>
      </c>
      <c r="D66" s="1" t="s">
        <v>168</v>
      </c>
      <c r="E66" s="1" t="s">
        <v>172</v>
      </c>
      <c r="F66" s="1" t="n">
        <v>335572</v>
      </c>
      <c r="G66" s="1" t="n">
        <v>364623</v>
      </c>
      <c r="H66" s="1" t="n">
        <v>29051</v>
      </c>
      <c r="I66" s="1" t="s">
        <v>158</v>
      </c>
    </row>
    <row r="67" customFormat="false" ht="15" hidden="false" customHeight="false" outlineLevel="0" collapsed="false">
      <c r="A67" s="1" t="s">
        <v>232</v>
      </c>
      <c r="B67" s="1" t="s">
        <v>62</v>
      </c>
      <c r="C67" s="1" t="s">
        <v>170</v>
      </c>
      <c r="D67" s="1" t="s">
        <v>168</v>
      </c>
      <c r="E67" s="1" t="s">
        <v>172</v>
      </c>
      <c r="F67" s="1" t="n">
        <v>140777</v>
      </c>
      <c r="G67" s="1" t="n">
        <v>147192</v>
      </c>
      <c r="H67" s="1" t="n">
        <v>6415</v>
      </c>
      <c r="I67" s="1" t="s">
        <v>158</v>
      </c>
    </row>
    <row r="68" customFormat="false" ht="15" hidden="false" customHeight="false" outlineLevel="0" collapsed="false">
      <c r="A68" s="1" t="s">
        <v>233</v>
      </c>
      <c r="B68" s="1" t="s">
        <v>63</v>
      </c>
      <c r="C68" s="1" t="s">
        <v>155</v>
      </c>
      <c r="D68" s="1" t="s">
        <v>156</v>
      </c>
      <c r="E68" s="1" t="s">
        <v>165</v>
      </c>
      <c r="F68" s="1" t="n">
        <v>834949</v>
      </c>
      <c r="G68" s="1" t="n">
        <v>959137</v>
      </c>
      <c r="H68" s="1" t="n">
        <v>124188</v>
      </c>
      <c r="I68" s="1" t="s">
        <v>158</v>
      </c>
    </row>
    <row r="69" customFormat="false" ht="15" hidden="false" customHeight="false" outlineLevel="0" collapsed="false">
      <c r="A69" s="1" t="s">
        <v>234</v>
      </c>
      <c r="B69" s="1" t="s">
        <v>63</v>
      </c>
      <c r="C69" s="1" t="s">
        <v>160</v>
      </c>
      <c r="D69" s="1" t="s">
        <v>156</v>
      </c>
      <c r="E69" s="1" t="s">
        <v>180</v>
      </c>
      <c r="F69" s="1" t="n">
        <v>402880</v>
      </c>
      <c r="G69" s="1" t="n">
        <v>425051</v>
      </c>
      <c r="H69" s="1" t="n">
        <v>22171</v>
      </c>
      <c r="I69" s="1" t="s">
        <v>158</v>
      </c>
    </row>
    <row r="70" customFormat="false" ht="15" hidden="false" customHeight="false" outlineLevel="0" collapsed="false">
      <c r="A70" s="1" t="s">
        <v>235</v>
      </c>
      <c r="B70" s="1" t="s">
        <v>63</v>
      </c>
      <c r="C70" s="1" t="s">
        <v>162</v>
      </c>
      <c r="D70" s="1" t="s">
        <v>156</v>
      </c>
      <c r="E70" s="1" t="s">
        <v>165</v>
      </c>
      <c r="F70" s="1" t="n">
        <v>211726</v>
      </c>
      <c r="G70" s="1" t="n">
        <v>227188</v>
      </c>
      <c r="H70" s="1" t="n">
        <v>15462</v>
      </c>
      <c r="I70" s="1" t="s">
        <v>158</v>
      </c>
    </row>
    <row r="71" customFormat="false" ht="15" hidden="false" customHeight="false" outlineLevel="0" collapsed="false">
      <c r="A71" s="1" t="s">
        <v>236</v>
      </c>
      <c r="B71" s="1" t="s">
        <v>63</v>
      </c>
      <c r="C71" s="1" t="s">
        <v>164</v>
      </c>
      <c r="D71" s="1" t="s">
        <v>156</v>
      </c>
      <c r="E71" s="1" t="s">
        <v>180</v>
      </c>
      <c r="F71" s="1" t="n">
        <v>146320</v>
      </c>
      <c r="G71" s="1" t="n">
        <v>151481</v>
      </c>
      <c r="H71" s="1" t="n">
        <v>5162</v>
      </c>
      <c r="I71" s="1" t="s">
        <v>158</v>
      </c>
    </row>
    <row r="72" customFormat="false" ht="15" hidden="false" customHeight="false" outlineLevel="0" collapsed="false">
      <c r="A72" s="1" t="s">
        <v>237</v>
      </c>
      <c r="B72" s="1" t="s">
        <v>63</v>
      </c>
      <c r="C72" s="1" t="s">
        <v>167</v>
      </c>
      <c r="D72" s="1" t="s">
        <v>168</v>
      </c>
      <c r="E72" s="1" t="s">
        <v>172</v>
      </c>
      <c r="F72" s="1" t="n">
        <v>254124</v>
      </c>
      <c r="G72" s="1" t="n">
        <v>261753</v>
      </c>
      <c r="H72" s="1" t="n">
        <v>7629</v>
      </c>
      <c r="I72" s="1" t="s">
        <v>158</v>
      </c>
    </row>
    <row r="73" customFormat="false" ht="15" hidden="false" customHeight="false" outlineLevel="0" collapsed="false">
      <c r="A73" s="1" t="s">
        <v>238</v>
      </c>
      <c r="B73" s="1" t="s">
        <v>63</v>
      </c>
      <c r="C73" s="1" t="s">
        <v>170</v>
      </c>
      <c r="D73" s="1" t="s">
        <v>168</v>
      </c>
      <c r="E73" s="1" t="s">
        <v>165</v>
      </c>
      <c r="F73" s="1" t="n">
        <v>110405</v>
      </c>
      <c r="G73" s="1" t="n">
        <v>106516</v>
      </c>
      <c r="H73" s="1" t="n">
        <v>-3889</v>
      </c>
      <c r="I73" s="1" t="s">
        <v>158</v>
      </c>
    </row>
    <row r="74" customFormat="false" ht="15" hidden="false" customHeight="false" outlineLevel="0" collapsed="false">
      <c r="A74" s="1" t="s">
        <v>239</v>
      </c>
      <c r="B74" s="1" t="s">
        <v>64</v>
      </c>
      <c r="C74" s="1" t="s">
        <v>155</v>
      </c>
      <c r="D74" s="1" t="s">
        <v>156</v>
      </c>
      <c r="E74" s="1" t="s">
        <v>172</v>
      </c>
      <c r="F74" s="1" t="n">
        <v>1061385</v>
      </c>
      <c r="G74" s="1" t="n">
        <v>1109056</v>
      </c>
      <c r="H74" s="1" t="n">
        <v>47671</v>
      </c>
      <c r="I74" s="1" t="s">
        <v>158</v>
      </c>
    </row>
    <row r="75" customFormat="false" ht="15" hidden="false" customHeight="false" outlineLevel="0" collapsed="false">
      <c r="A75" s="1" t="s">
        <v>240</v>
      </c>
      <c r="B75" s="1" t="s">
        <v>64</v>
      </c>
      <c r="C75" s="1" t="s">
        <v>160</v>
      </c>
      <c r="D75" s="1" t="s">
        <v>156</v>
      </c>
      <c r="E75" s="1" t="s">
        <v>172</v>
      </c>
      <c r="F75" s="1" t="n">
        <v>755988</v>
      </c>
      <c r="G75" s="1" t="n">
        <v>785909</v>
      </c>
      <c r="H75" s="1" t="n">
        <v>29921</v>
      </c>
      <c r="I75" s="1" t="s">
        <v>158</v>
      </c>
    </row>
    <row r="76" customFormat="false" ht="15" hidden="false" customHeight="false" outlineLevel="0" collapsed="false">
      <c r="A76" s="1" t="s">
        <v>241</v>
      </c>
      <c r="B76" s="1" t="s">
        <v>64</v>
      </c>
      <c r="C76" s="1" t="s">
        <v>162</v>
      </c>
      <c r="D76" s="1" t="s">
        <v>156</v>
      </c>
      <c r="E76" s="1" t="s">
        <v>165</v>
      </c>
      <c r="F76" s="1" t="n">
        <v>257808</v>
      </c>
      <c r="G76" s="1" t="n">
        <v>280577</v>
      </c>
      <c r="H76" s="1" t="n">
        <v>22770</v>
      </c>
      <c r="I76" s="1" t="s">
        <v>158</v>
      </c>
    </row>
    <row r="77" customFormat="false" ht="15" hidden="false" customHeight="false" outlineLevel="0" collapsed="false">
      <c r="A77" s="1" t="s">
        <v>242</v>
      </c>
      <c r="B77" s="1" t="s">
        <v>64</v>
      </c>
      <c r="C77" s="1" t="s">
        <v>164</v>
      </c>
      <c r="D77" s="1" t="s">
        <v>156</v>
      </c>
      <c r="E77" s="1" t="s">
        <v>165</v>
      </c>
      <c r="F77" s="1" t="n">
        <v>218972</v>
      </c>
      <c r="G77" s="1" t="n">
        <v>174159</v>
      </c>
      <c r="H77" s="1" t="n">
        <v>-44813</v>
      </c>
      <c r="I77" s="1" t="s">
        <v>158</v>
      </c>
    </row>
    <row r="78" customFormat="false" ht="15" hidden="false" customHeight="false" outlineLevel="0" collapsed="false">
      <c r="A78" s="1" t="s">
        <v>243</v>
      </c>
      <c r="B78" s="1" t="s">
        <v>64</v>
      </c>
      <c r="C78" s="1" t="s">
        <v>167</v>
      </c>
      <c r="D78" s="1" t="s">
        <v>168</v>
      </c>
      <c r="E78" s="1" t="s">
        <v>165</v>
      </c>
      <c r="F78" s="1" t="n">
        <v>379560</v>
      </c>
      <c r="G78" s="1" t="n">
        <v>377167</v>
      </c>
      <c r="H78" s="1" t="n">
        <v>-2393</v>
      </c>
      <c r="I78" s="1" t="s">
        <v>158</v>
      </c>
    </row>
    <row r="79" customFormat="false" ht="15" hidden="false" customHeight="false" outlineLevel="0" collapsed="false">
      <c r="A79" s="1" t="s">
        <v>244</v>
      </c>
      <c r="B79" s="1" t="s">
        <v>64</v>
      </c>
      <c r="C79" s="1" t="s">
        <v>170</v>
      </c>
      <c r="D79" s="1" t="s">
        <v>168</v>
      </c>
      <c r="E79" s="1" t="s">
        <v>172</v>
      </c>
      <c r="F79" s="1" t="n">
        <v>114320</v>
      </c>
      <c r="G79" s="1" t="n">
        <v>103566</v>
      </c>
      <c r="H79" s="1" t="n">
        <v>-10754</v>
      </c>
      <c r="I79" s="1" t="s">
        <v>158</v>
      </c>
    </row>
    <row r="80" customFormat="false" ht="15" hidden="false" customHeight="false" outlineLevel="0" collapsed="false">
      <c r="A80" s="1" t="s">
        <v>245</v>
      </c>
      <c r="B80" s="1" t="s">
        <v>65</v>
      </c>
      <c r="C80" s="1" t="s">
        <v>155</v>
      </c>
      <c r="D80" s="1" t="s">
        <v>156</v>
      </c>
      <c r="E80" s="1" t="s">
        <v>172</v>
      </c>
      <c r="F80" s="1" t="n">
        <v>939134</v>
      </c>
      <c r="G80" s="1" t="n">
        <v>972203</v>
      </c>
      <c r="H80" s="1" t="n">
        <v>33069</v>
      </c>
      <c r="I80" s="1" t="s">
        <v>158</v>
      </c>
    </row>
    <row r="81" customFormat="false" ht="15" hidden="false" customHeight="false" outlineLevel="0" collapsed="false">
      <c r="A81" s="1" t="s">
        <v>246</v>
      </c>
      <c r="B81" s="1" t="s">
        <v>65</v>
      </c>
      <c r="C81" s="1" t="s">
        <v>160</v>
      </c>
      <c r="D81" s="1" t="s">
        <v>156</v>
      </c>
      <c r="E81" s="1" t="s">
        <v>157</v>
      </c>
      <c r="F81" s="1" t="n">
        <v>625843</v>
      </c>
      <c r="G81" s="1" t="n">
        <v>592523</v>
      </c>
      <c r="H81" s="1" t="n">
        <v>-33320</v>
      </c>
      <c r="I81" s="1" t="s">
        <v>158</v>
      </c>
    </row>
    <row r="82" customFormat="false" ht="15" hidden="false" customHeight="false" outlineLevel="0" collapsed="false">
      <c r="A82" s="1" t="s">
        <v>247</v>
      </c>
      <c r="B82" s="1" t="s">
        <v>65</v>
      </c>
      <c r="C82" s="1" t="s">
        <v>162</v>
      </c>
      <c r="D82" s="1" t="s">
        <v>156</v>
      </c>
      <c r="E82" s="1" t="s">
        <v>180</v>
      </c>
      <c r="F82" s="1" t="n">
        <v>231478</v>
      </c>
      <c r="G82" s="1" t="n">
        <v>248540</v>
      </c>
      <c r="H82" s="1" t="n">
        <v>17062</v>
      </c>
      <c r="I82" s="1" t="s">
        <v>158</v>
      </c>
    </row>
    <row r="83" customFormat="false" ht="15" hidden="false" customHeight="false" outlineLevel="0" collapsed="false">
      <c r="A83" s="1" t="s">
        <v>248</v>
      </c>
      <c r="B83" s="1" t="s">
        <v>65</v>
      </c>
      <c r="C83" s="1" t="s">
        <v>164</v>
      </c>
      <c r="D83" s="1" t="s">
        <v>156</v>
      </c>
      <c r="E83" s="1" t="s">
        <v>157</v>
      </c>
      <c r="F83" s="1" t="n">
        <v>201683</v>
      </c>
      <c r="G83" s="1" t="n">
        <v>185128</v>
      </c>
      <c r="H83" s="1" t="n">
        <v>-16556</v>
      </c>
      <c r="I83" s="1" t="s">
        <v>158</v>
      </c>
    </row>
    <row r="84" customFormat="false" ht="15" hidden="false" customHeight="false" outlineLevel="0" collapsed="false">
      <c r="A84" s="1" t="s">
        <v>249</v>
      </c>
      <c r="B84" s="1" t="s">
        <v>65</v>
      </c>
      <c r="C84" s="1" t="s">
        <v>167</v>
      </c>
      <c r="D84" s="1" t="s">
        <v>168</v>
      </c>
      <c r="E84" s="1" t="s">
        <v>157</v>
      </c>
      <c r="F84" s="1" t="n">
        <v>343336</v>
      </c>
      <c r="G84" s="1" t="n">
        <v>318417</v>
      </c>
      <c r="H84" s="1" t="n">
        <v>-24919</v>
      </c>
      <c r="I84" s="1" t="s">
        <v>158</v>
      </c>
    </row>
    <row r="85" customFormat="false" ht="15" hidden="false" customHeight="false" outlineLevel="0" collapsed="false">
      <c r="A85" s="1" t="s">
        <v>250</v>
      </c>
      <c r="B85" s="1" t="s">
        <v>65</v>
      </c>
      <c r="C85" s="1" t="s">
        <v>170</v>
      </c>
      <c r="D85" s="1" t="s">
        <v>168</v>
      </c>
      <c r="E85" s="1" t="s">
        <v>157</v>
      </c>
      <c r="F85" s="1" t="n">
        <v>182114</v>
      </c>
      <c r="G85" s="1" t="n">
        <v>183538</v>
      </c>
      <c r="H85" s="1" t="n">
        <v>1424</v>
      </c>
      <c r="I85" s="1" t="s">
        <v>158</v>
      </c>
    </row>
    <row r="86" customFormat="false" ht="15" hidden="false" customHeight="false" outlineLevel="0" collapsed="false">
      <c r="A86" s="1" t="s">
        <v>251</v>
      </c>
      <c r="B86" s="1" t="s">
        <v>66</v>
      </c>
      <c r="C86" s="1" t="s">
        <v>155</v>
      </c>
      <c r="D86" s="1" t="s">
        <v>156</v>
      </c>
      <c r="E86" s="1" t="s">
        <v>172</v>
      </c>
      <c r="F86" s="1" t="n">
        <v>868108</v>
      </c>
      <c r="G86" s="1" t="n">
        <v>826855</v>
      </c>
      <c r="H86" s="1" t="n">
        <v>-41253</v>
      </c>
      <c r="I86" s="1" t="s">
        <v>158</v>
      </c>
    </row>
    <row r="87" customFormat="false" ht="15" hidden="false" customHeight="false" outlineLevel="0" collapsed="false">
      <c r="A87" s="1" t="s">
        <v>252</v>
      </c>
      <c r="B87" s="1" t="s">
        <v>66</v>
      </c>
      <c r="C87" s="1" t="s">
        <v>160</v>
      </c>
      <c r="D87" s="1" t="s">
        <v>156</v>
      </c>
      <c r="E87" s="1" t="s">
        <v>180</v>
      </c>
      <c r="F87" s="1" t="n">
        <v>523012</v>
      </c>
      <c r="G87" s="1" t="n">
        <v>564586</v>
      </c>
      <c r="H87" s="1" t="n">
        <v>41574</v>
      </c>
      <c r="I87" s="1" t="s">
        <v>158</v>
      </c>
    </row>
    <row r="88" customFormat="false" ht="15" hidden="false" customHeight="false" outlineLevel="0" collapsed="false">
      <c r="A88" s="1" t="s">
        <v>253</v>
      </c>
      <c r="B88" s="1" t="s">
        <v>66</v>
      </c>
      <c r="C88" s="1" t="s">
        <v>162</v>
      </c>
      <c r="D88" s="1" t="s">
        <v>156</v>
      </c>
      <c r="E88" s="1" t="s">
        <v>172</v>
      </c>
      <c r="F88" s="1" t="n">
        <v>246419</v>
      </c>
      <c r="G88" s="1" t="n">
        <v>273155</v>
      </c>
      <c r="H88" s="1" t="n">
        <v>26736</v>
      </c>
      <c r="I88" s="1" t="s">
        <v>158</v>
      </c>
    </row>
    <row r="89" customFormat="false" ht="15" hidden="false" customHeight="false" outlineLevel="0" collapsed="false">
      <c r="A89" s="1" t="s">
        <v>254</v>
      </c>
      <c r="B89" s="1" t="s">
        <v>66</v>
      </c>
      <c r="C89" s="1" t="s">
        <v>164</v>
      </c>
      <c r="D89" s="1" t="s">
        <v>156</v>
      </c>
      <c r="E89" s="1" t="s">
        <v>180</v>
      </c>
      <c r="F89" s="1" t="n">
        <v>146745</v>
      </c>
      <c r="G89" s="1" t="n">
        <v>133189</v>
      </c>
      <c r="H89" s="1" t="n">
        <v>-13556</v>
      </c>
      <c r="I89" s="1" t="s">
        <v>158</v>
      </c>
    </row>
    <row r="90" customFormat="false" ht="15" hidden="false" customHeight="false" outlineLevel="0" collapsed="false">
      <c r="A90" s="1" t="s">
        <v>255</v>
      </c>
      <c r="B90" s="1" t="s">
        <v>66</v>
      </c>
      <c r="C90" s="1" t="s">
        <v>167</v>
      </c>
      <c r="D90" s="1" t="s">
        <v>168</v>
      </c>
      <c r="E90" s="1" t="s">
        <v>172</v>
      </c>
      <c r="F90" s="1" t="n">
        <v>327104</v>
      </c>
      <c r="G90" s="1" t="n">
        <v>293746</v>
      </c>
      <c r="H90" s="1" t="n">
        <v>-33358</v>
      </c>
      <c r="I90" s="1" t="s">
        <v>158</v>
      </c>
    </row>
    <row r="91" customFormat="false" ht="15" hidden="false" customHeight="false" outlineLevel="0" collapsed="false">
      <c r="A91" s="1" t="s">
        <v>256</v>
      </c>
      <c r="B91" s="1" t="s">
        <v>66</v>
      </c>
      <c r="C91" s="1" t="s">
        <v>170</v>
      </c>
      <c r="D91" s="1" t="s">
        <v>168</v>
      </c>
      <c r="E91" s="1" t="s">
        <v>157</v>
      </c>
      <c r="F91" s="1" t="n">
        <v>131898</v>
      </c>
      <c r="G91" s="1" t="n">
        <v>123939</v>
      </c>
      <c r="H91" s="1" t="n">
        <v>-7959</v>
      </c>
      <c r="I91" s="1" t="s">
        <v>158</v>
      </c>
    </row>
    <row r="92" customFormat="false" ht="15" hidden="false" customHeight="false" outlineLevel="0" collapsed="false">
      <c r="A92" s="1" t="s">
        <v>257</v>
      </c>
      <c r="B92" s="1" t="s">
        <v>67</v>
      </c>
      <c r="C92" s="1" t="s">
        <v>155</v>
      </c>
      <c r="D92" s="1" t="s">
        <v>156</v>
      </c>
      <c r="E92" s="1" t="s">
        <v>157</v>
      </c>
      <c r="F92" s="1" t="n">
        <v>831166</v>
      </c>
      <c r="G92" s="1" t="n">
        <v>784325</v>
      </c>
      <c r="H92" s="1" t="n">
        <v>-46841</v>
      </c>
      <c r="I92" s="1" t="s">
        <v>158</v>
      </c>
    </row>
    <row r="93" customFormat="false" ht="15" hidden="false" customHeight="false" outlineLevel="0" collapsed="false">
      <c r="A93" s="1" t="s">
        <v>258</v>
      </c>
      <c r="B93" s="1" t="s">
        <v>67</v>
      </c>
      <c r="C93" s="1" t="s">
        <v>160</v>
      </c>
      <c r="D93" s="1" t="s">
        <v>156</v>
      </c>
      <c r="E93" s="1" t="s">
        <v>180</v>
      </c>
      <c r="F93" s="1" t="n">
        <v>471478</v>
      </c>
      <c r="G93" s="1" t="n">
        <v>534238</v>
      </c>
      <c r="H93" s="1" t="n">
        <v>62759</v>
      </c>
      <c r="I93" s="1" t="s">
        <v>158</v>
      </c>
    </row>
    <row r="94" customFormat="false" ht="15" hidden="false" customHeight="false" outlineLevel="0" collapsed="false">
      <c r="A94" s="1" t="s">
        <v>259</v>
      </c>
      <c r="B94" s="1" t="s">
        <v>67</v>
      </c>
      <c r="C94" s="1" t="s">
        <v>162</v>
      </c>
      <c r="D94" s="1" t="s">
        <v>156</v>
      </c>
      <c r="E94" s="1" t="s">
        <v>172</v>
      </c>
      <c r="F94" s="1" t="n">
        <v>189672</v>
      </c>
      <c r="G94" s="1" t="n">
        <v>182442</v>
      </c>
      <c r="H94" s="1" t="n">
        <v>-7230</v>
      </c>
      <c r="I94" s="1" t="s">
        <v>158</v>
      </c>
    </row>
    <row r="95" customFormat="false" ht="15" hidden="false" customHeight="false" outlineLevel="0" collapsed="false">
      <c r="A95" s="1" t="s">
        <v>260</v>
      </c>
      <c r="B95" s="1" t="s">
        <v>67</v>
      </c>
      <c r="C95" s="1" t="s">
        <v>164</v>
      </c>
      <c r="D95" s="1" t="s">
        <v>156</v>
      </c>
      <c r="E95" s="1" t="s">
        <v>180</v>
      </c>
      <c r="F95" s="1" t="n">
        <v>191740</v>
      </c>
      <c r="G95" s="1" t="n">
        <v>193980</v>
      </c>
      <c r="H95" s="1" t="n">
        <v>2240</v>
      </c>
      <c r="I95" s="1" t="s">
        <v>158</v>
      </c>
    </row>
    <row r="96" customFormat="false" ht="15" hidden="false" customHeight="false" outlineLevel="0" collapsed="false">
      <c r="A96" s="1" t="s">
        <v>261</v>
      </c>
      <c r="B96" s="1" t="s">
        <v>67</v>
      </c>
      <c r="C96" s="1" t="s">
        <v>167</v>
      </c>
      <c r="D96" s="1" t="s">
        <v>168</v>
      </c>
      <c r="E96" s="1" t="s">
        <v>165</v>
      </c>
      <c r="F96" s="1" t="n">
        <v>354545</v>
      </c>
      <c r="G96" s="1" t="n">
        <v>399859</v>
      </c>
      <c r="H96" s="1" t="n">
        <v>45314</v>
      </c>
      <c r="I96" s="1" t="s">
        <v>158</v>
      </c>
    </row>
    <row r="97" customFormat="false" ht="15" hidden="false" customHeight="false" outlineLevel="0" collapsed="false">
      <c r="A97" s="1" t="s">
        <v>262</v>
      </c>
      <c r="B97" s="1" t="s">
        <v>67</v>
      </c>
      <c r="C97" s="1" t="s">
        <v>170</v>
      </c>
      <c r="D97" s="1" t="s">
        <v>168</v>
      </c>
      <c r="E97" s="1" t="s">
        <v>157</v>
      </c>
      <c r="F97" s="1" t="n">
        <v>133173</v>
      </c>
      <c r="G97" s="1" t="n">
        <v>144570</v>
      </c>
      <c r="H97" s="1" t="n">
        <v>11396</v>
      </c>
      <c r="I97" s="1" t="s">
        <v>158</v>
      </c>
    </row>
    <row r="98" customFormat="false" ht="15" hidden="false" customHeight="false" outlineLevel="0" collapsed="false">
      <c r="A98" s="1" t="s">
        <v>263</v>
      </c>
      <c r="B98" s="1" t="s">
        <v>68</v>
      </c>
      <c r="C98" s="1" t="s">
        <v>155</v>
      </c>
      <c r="D98" s="1" t="s">
        <v>156</v>
      </c>
      <c r="E98" s="1" t="s">
        <v>180</v>
      </c>
      <c r="F98" s="1" t="n">
        <v>1094675</v>
      </c>
      <c r="G98" s="1" t="n">
        <v>1084583</v>
      </c>
      <c r="H98" s="1" t="n">
        <v>-10093</v>
      </c>
      <c r="I98" s="1" t="s">
        <v>158</v>
      </c>
    </row>
    <row r="99" customFormat="false" ht="15" hidden="false" customHeight="false" outlineLevel="0" collapsed="false">
      <c r="A99" s="1" t="s">
        <v>264</v>
      </c>
      <c r="B99" s="1" t="s">
        <v>68</v>
      </c>
      <c r="C99" s="1" t="s">
        <v>160</v>
      </c>
      <c r="D99" s="1" t="s">
        <v>156</v>
      </c>
      <c r="E99" s="1" t="s">
        <v>180</v>
      </c>
      <c r="F99" s="1" t="n">
        <v>544959</v>
      </c>
      <c r="G99" s="1" t="n">
        <v>472625</v>
      </c>
      <c r="H99" s="1" t="n">
        <v>-72334</v>
      </c>
      <c r="I99" s="1" t="s">
        <v>158</v>
      </c>
    </row>
    <row r="100" customFormat="false" ht="15" hidden="false" customHeight="false" outlineLevel="0" collapsed="false">
      <c r="A100" s="1" t="s">
        <v>265</v>
      </c>
      <c r="B100" s="1" t="s">
        <v>68</v>
      </c>
      <c r="C100" s="1" t="s">
        <v>162</v>
      </c>
      <c r="D100" s="1" t="s">
        <v>156</v>
      </c>
      <c r="E100" s="1" t="s">
        <v>172</v>
      </c>
      <c r="F100" s="1" t="n">
        <v>248609</v>
      </c>
      <c r="G100" s="1" t="n">
        <v>258803</v>
      </c>
      <c r="H100" s="1" t="n">
        <v>10194</v>
      </c>
      <c r="I100" s="1" t="s">
        <v>158</v>
      </c>
    </row>
    <row r="101" customFormat="false" ht="15" hidden="false" customHeight="false" outlineLevel="0" collapsed="false">
      <c r="A101" s="1" t="s">
        <v>266</v>
      </c>
      <c r="B101" s="1" t="s">
        <v>68</v>
      </c>
      <c r="C101" s="1" t="s">
        <v>164</v>
      </c>
      <c r="D101" s="1" t="s">
        <v>156</v>
      </c>
      <c r="E101" s="1" t="s">
        <v>165</v>
      </c>
      <c r="F101" s="1" t="n">
        <v>228325</v>
      </c>
      <c r="G101" s="1" t="n">
        <v>251307</v>
      </c>
      <c r="H101" s="1" t="n">
        <v>22982</v>
      </c>
      <c r="I101" s="1" t="s">
        <v>158</v>
      </c>
    </row>
    <row r="102" customFormat="false" ht="15" hidden="false" customHeight="false" outlineLevel="0" collapsed="false">
      <c r="A102" s="1" t="s">
        <v>267</v>
      </c>
      <c r="B102" s="1" t="s">
        <v>68</v>
      </c>
      <c r="C102" s="1" t="s">
        <v>167</v>
      </c>
      <c r="D102" s="1" t="s">
        <v>168</v>
      </c>
      <c r="E102" s="1" t="s">
        <v>172</v>
      </c>
      <c r="F102" s="1" t="n">
        <v>422851</v>
      </c>
      <c r="G102" s="1" t="n">
        <v>461666</v>
      </c>
      <c r="H102" s="1" t="n">
        <v>38815</v>
      </c>
      <c r="I102" s="1" t="s">
        <v>158</v>
      </c>
    </row>
    <row r="103" customFormat="false" ht="15" hidden="false" customHeight="false" outlineLevel="0" collapsed="false">
      <c r="A103" s="1" t="s">
        <v>268</v>
      </c>
      <c r="B103" s="1" t="s">
        <v>68</v>
      </c>
      <c r="C103" s="1" t="s">
        <v>170</v>
      </c>
      <c r="D103" s="1" t="s">
        <v>168</v>
      </c>
      <c r="E103" s="1" t="s">
        <v>180</v>
      </c>
      <c r="F103" s="1" t="n">
        <v>167792</v>
      </c>
      <c r="G103" s="1" t="n">
        <v>202411</v>
      </c>
      <c r="H103" s="1" t="n">
        <v>34619</v>
      </c>
      <c r="I103" s="1" t="s">
        <v>158</v>
      </c>
    </row>
    <row r="104" customFormat="false" ht="15" hidden="false" customHeight="false" outlineLevel="0" collapsed="false">
      <c r="A104" s="1" t="s">
        <v>269</v>
      </c>
      <c r="B104" s="1" t="s">
        <v>69</v>
      </c>
      <c r="C104" s="1" t="s">
        <v>155</v>
      </c>
      <c r="D104" s="1" t="s">
        <v>156</v>
      </c>
      <c r="E104" s="1" t="s">
        <v>180</v>
      </c>
      <c r="F104" s="1" t="n">
        <v>1212951</v>
      </c>
      <c r="G104" s="1" t="n">
        <v>975437</v>
      </c>
      <c r="H104" s="1" t="n">
        <v>-237513</v>
      </c>
      <c r="I104" s="1" t="s">
        <v>158</v>
      </c>
    </row>
    <row r="105" customFormat="false" ht="15" hidden="false" customHeight="false" outlineLevel="0" collapsed="false">
      <c r="A105" s="1" t="s">
        <v>270</v>
      </c>
      <c r="B105" s="1" t="s">
        <v>69</v>
      </c>
      <c r="C105" s="1" t="s">
        <v>160</v>
      </c>
      <c r="D105" s="1" t="s">
        <v>156</v>
      </c>
      <c r="E105" s="1" t="s">
        <v>172</v>
      </c>
      <c r="F105" s="1" t="n">
        <v>604641</v>
      </c>
      <c r="G105" s="1" t="n">
        <v>695422</v>
      </c>
      <c r="H105" s="1" t="n">
        <v>90781</v>
      </c>
      <c r="I105" s="1" t="s">
        <v>158</v>
      </c>
    </row>
    <row r="106" customFormat="false" ht="15" hidden="false" customHeight="false" outlineLevel="0" collapsed="false">
      <c r="A106" s="1" t="s">
        <v>271</v>
      </c>
      <c r="B106" s="1" t="s">
        <v>69</v>
      </c>
      <c r="C106" s="1" t="s">
        <v>162</v>
      </c>
      <c r="D106" s="1" t="s">
        <v>156</v>
      </c>
      <c r="E106" s="1" t="s">
        <v>172</v>
      </c>
      <c r="F106" s="1" t="n">
        <v>335818</v>
      </c>
      <c r="G106" s="1" t="n">
        <v>358985</v>
      </c>
      <c r="H106" s="1" t="n">
        <v>23168</v>
      </c>
      <c r="I106" s="1" t="s">
        <v>158</v>
      </c>
    </row>
    <row r="107" customFormat="false" ht="15" hidden="false" customHeight="false" outlineLevel="0" collapsed="false">
      <c r="A107" s="1" t="s">
        <v>272</v>
      </c>
      <c r="B107" s="1" t="s">
        <v>69</v>
      </c>
      <c r="C107" s="1" t="s">
        <v>164</v>
      </c>
      <c r="D107" s="1" t="s">
        <v>156</v>
      </c>
      <c r="E107" s="1" t="s">
        <v>157</v>
      </c>
      <c r="F107" s="1" t="n">
        <v>206063</v>
      </c>
      <c r="G107" s="1" t="n">
        <v>205057</v>
      </c>
      <c r="H107" s="1" t="n">
        <v>-1006</v>
      </c>
      <c r="I107" s="1" t="s">
        <v>158</v>
      </c>
    </row>
    <row r="108" customFormat="false" ht="15" hidden="false" customHeight="false" outlineLevel="0" collapsed="false">
      <c r="A108" s="1" t="s">
        <v>273</v>
      </c>
      <c r="B108" s="1" t="s">
        <v>69</v>
      </c>
      <c r="C108" s="1" t="s">
        <v>167</v>
      </c>
      <c r="D108" s="1" t="s">
        <v>168</v>
      </c>
      <c r="E108" s="1" t="s">
        <v>157</v>
      </c>
      <c r="F108" s="1" t="n">
        <v>397275</v>
      </c>
      <c r="G108" s="1" t="n">
        <v>396629</v>
      </c>
      <c r="H108" s="1" t="n">
        <v>-646</v>
      </c>
      <c r="I108" s="1" t="s">
        <v>158</v>
      </c>
    </row>
    <row r="109" customFormat="false" ht="15" hidden="false" customHeight="false" outlineLevel="0" collapsed="false">
      <c r="A109" s="1" t="s">
        <v>274</v>
      </c>
      <c r="B109" s="1" t="s">
        <v>69</v>
      </c>
      <c r="C109" s="1" t="s">
        <v>170</v>
      </c>
      <c r="D109" s="1" t="s">
        <v>168</v>
      </c>
      <c r="E109" s="1" t="s">
        <v>165</v>
      </c>
      <c r="F109" s="1" t="n">
        <v>171789</v>
      </c>
      <c r="G109" s="1" t="n">
        <v>189003</v>
      </c>
      <c r="H109" s="1" t="n">
        <v>17214</v>
      </c>
      <c r="I109" s="1" t="s">
        <v>158</v>
      </c>
    </row>
    <row r="110" customFormat="false" ht="15" hidden="false" customHeight="false" outlineLevel="0" collapsed="false">
      <c r="A110" s="1" t="s">
        <v>275</v>
      </c>
      <c r="B110" s="1" t="s">
        <v>70</v>
      </c>
      <c r="C110" s="1" t="s">
        <v>155</v>
      </c>
      <c r="D110" s="1" t="s">
        <v>156</v>
      </c>
      <c r="E110" s="1" t="s">
        <v>180</v>
      </c>
      <c r="F110" s="1" t="n">
        <v>991973</v>
      </c>
      <c r="G110" s="1" t="n">
        <v>1038505</v>
      </c>
      <c r="H110" s="1" t="n">
        <v>46532</v>
      </c>
      <c r="I110" s="1" t="s">
        <v>158</v>
      </c>
    </row>
    <row r="111" customFormat="false" ht="15" hidden="false" customHeight="false" outlineLevel="0" collapsed="false">
      <c r="A111" s="1" t="s">
        <v>276</v>
      </c>
      <c r="B111" s="1" t="s">
        <v>70</v>
      </c>
      <c r="C111" s="1" t="s">
        <v>160</v>
      </c>
      <c r="D111" s="1" t="s">
        <v>156</v>
      </c>
      <c r="E111" s="1" t="s">
        <v>157</v>
      </c>
      <c r="F111" s="1" t="n">
        <v>525307</v>
      </c>
      <c r="G111" s="1" t="n">
        <v>569717</v>
      </c>
      <c r="H111" s="1" t="n">
        <v>44409</v>
      </c>
      <c r="I111" s="1" t="s">
        <v>158</v>
      </c>
    </row>
    <row r="112" customFormat="false" ht="15" hidden="false" customHeight="false" outlineLevel="0" collapsed="false">
      <c r="A112" s="1" t="s">
        <v>277</v>
      </c>
      <c r="B112" s="1" t="s">
        <v>70</v>
      </c>
      <c r="C112" s="1" t="s">
        <v>162</v>
      </c>
      <c r="D112" s="1" t="s">
        <v>156</v>
      </c>
      <c r="E112" s="1" t="s">
        <v>172</v>
      </c>
      <c r="F112" s="1" t="n">
        <v>266795</v>
      </c>
      <c r="G112" s="1" t="n">
        <v>296544</v>
      </c>
      <c r="H112" s="1" t="n">
        <v>29748</v>
      </c>
      <c r="I112" s="1" t="s">
        <v>158</v>
      </c>
    </row>
    <row r="113" customFormat="false" ht="15" hidden="false" customHeight="false" outlineLevel="0" collapsed="false">
      <c r="A113" s="1" t="s">
        <v>278</v>
      </c>
      <c r="B113" s="1" t="s">
        <v>70</v>
      </c>
      <c r="C113" s="1" t="s">
        <v>164</v>
      </c>
      <c r="D113" s="1" t="s">
        <v>156</v>
      </c>
      <c r="E113" s="1" t="s">
        <v>172</v>
      </c>
      <c r="F113" s="1" t="n">
        <v>227941</v>
      </c>
      <c r="G113" s="1" t="n">
        <v>205803</v>
      </c>
      <c r="H113" s="1" t="n">
        <v>-22138</v>
      </c>
      <c r="I113" s="1" t="s">
        <v>158</v>
      </c>
    </row>
    <row r="114" customFormat="false" ht="15" hidden="false" customHeight="false" outlineLevel="0" collapsed="false">
      <c r="A114" s="1" t="s">
        <v>279</v>
      </c>
      <c r="B114" s="1" t="s">
        <v>70</v>
      </c>
      <c r="C114" s="1" t="s">
        <v>167</v>
      </c>
      <c r="D114" s="1" t="s">
        <v>168</v>
      </c>
      <c r="E114" s="1" t="s">
        <v>180</v>
      </c>
      <c r="F114" s="1" t="n">
        <v>366961</v>
      </c>
      <c r="G114" s="1" t="n">
        <v>369952</v>
      </c>
      <c r="H114" s="1" t="n">
        <v>2991</v>
      </c>
      <c r="I114" s="1" t="s">
        <v>158</v>
      </c>
    </row>
    <row r="115" customFormat="false" ht="15" hidden="false" customHeight="false" outlineLevel="0" collapsed="false">
      <c r="A115" s="1" t="s">
        <v>280</v>
      </c>
      <c r="B115" s="1" t="s">
        <v>70</v>
      </c>
      <c r="C115" s="1" t="s">
        <v>170</v>
      </c>
      <c r="D115" s="1" t="s">
        <v>168</v>
      </c>
      <c r="E115" s="1" t="s">
        <v>180</v>
      </c>
      <c r="F115" s="1" t="n">
        <v>137071</v>
      </c>
      <c r="G115" s="1" t="n">
        <v>166524</v>
      </c>
      <c r="H115" s="1" t="n">
        <v>29453</v>
      </c>
      <c r="I115" s="1" t="s">
        <v>158</v>
      </c>
    </row>
    <row r="116" customFormat="false" ht="15" hidden="false" customHeight="false" outlineLevel="0" collapsed="false">
      <c r="A116" s="1" t="s">
        <v>281</v>
      </c>
      <c r="B116" s="1" t="s">
        <v>71</v>
      </c>
      <c r="C116" s="1" t="s">
        <v>155</v>
      </c>
      <c r="D116" s="1" t="s">
        <v>156</v>
      </c>
      <c r="E116" s="1" t="s">
        <v>180</v>
      </c>
      <c r="F116" s="1" t="n">
        <v>1272582</v>
      </c>
      <c r="G116" s="1" t="n">
        <v>1198867</v>
      </c>
      <c r="H116" s="1" t="n">
        <v>-73715</v>
      </c>
      <c r="I116" s="1" t="s">
        <v>158</v>
      </c>
    </row>
    <row r="117" customFormat="false" ht="15" hidden="false" customHeight="false" outlineLevel="0" collapsed="false">
      <c r="A117" s="1" t="s">
        <v>282</v>
      </c>
      <c r="B117" s="1" t="s">
        <v>71</v>
      </c>
      <c r="C117" s="1" t="s">
        <v>160</v>
      </c>
      <c r="D117" s="1" t="s">
        <v>156</v>
      </c>
      <c r="E117" s="1" t="s">
        <v>172</v>
      </c>
      <c r="F117" s="1" t="n">
        <v>546652</v>
      </c>
      <c r="G117" s="1" t="n">
        <v>534808</v>
      </c>
      <c r="H117" s="1" t="n">
        <v>-11844</v>
      </c>
      <c r="I117" s="1" t="s">
        <v>158</v>
      </c>
    </row>
    <row r="118" customFormat="false" ht="15" hidden="false" customHeight="false" outlineLevel="0" collapsed="false">
      <c r="A118" s="1" t="s">
        <v>283</v>
      </c>
      <c r="B118" s="1" t="s">
        <v>71</v>
      </c>
      <c r="C118" s="1" t="s">
        <v>162</v>
      </c>
      <c r="D118" s="1" t="s">
        <v>156</v>
      </c>
      <c r="E118" s="1" t="s">
        <v>157</v>
      </c>
      <c r="F118" s="1" t="n">
        <v>208516</v>
      </c>
      <c r="G118" s="1" t="n">
        <v>223143</v>
      </c>
      <c r="H118" s="1" t="n">
        <v>14627</v>
      </c>
      <c r="I118" s="1" t="s">
        <v>158</v>
      </c>
    </row>
    <row r="119" customFormat="false" ht="15" hidden="false" customHeight="false" outlineLevel="0" collapsed="false">
      <c r="A119" s="1" t="s">
        <v>284</v>
      </c>
      <c r="B119" s="1" t="s">
        <v>71</v>
      </c>
      <c r="C119" s="1" t="s">
        <v>164</v>
      </c>
      <c r="D119" s="1" t="s">
        <v>156</v>
      </c>
      <c r="E119" s="1" t="s">
        <v>180</v>
      </c>
      <c r="F119" s="1" t="n">
        <v>197718</v>
      </c>
      <c r="G119" s="1" t="n">
        <v>210379</v>
      </c>
      <c r="H119" s="1" t="n">
        <v>12661</v>
      </c>
      <c r="I119" s="1" t="s">
        <v>158</v>
      </c>
    </row>
    <row r="120" customFormat="false" ht="15" hidden="false" customHeight="false" outlineLevel="0" collapsed="false">
      <c r="A120" s="1" t="s">
        <v>285</v>
      </c>
      <c r="B120" s="1" t="s">
        <v>71</v>
      </c>
      <c r="C120" s="1" t="s">
        <v>167</v>
      </c>
      <c r="D120" s="1" t="s">
        <v>168</v>
      </c>
      <c r="E120" s="1" t="s">
        <v>172</v>
      </c>
      <c r="F120" s="1" t="n">
        <v>328613</v>
      </c>
      <c r="G120" s="1" t="n">
        <v>310462</v>
      </c>
      <c r="H120" s="1" t="n">
        <v>-18151</v>
      </c>
      <c r="I120" s="1" t="s">
        <v>158</v>
      </c>
    </row>
    <row r="121" customFormat="false" ht="15" hidden="false" customHeight="false" outlineLevel="0" collapsed="false">
      <c r="A121" s="1" t="s">
        <v>286</v>
      </c>
      <c r="B121" s="1" t="s">
        <v>71</v>
      </c>
      <c r="C121" s="1" t="s">
        <v>170</v>
      </c>
      <c r="D121" s="1" t="s">
        <v>168</v>
      </c>
      <c r="E121" s="1" t="s">
        <v>157</v>
      </c>
      <c r="F121" s="1" t="n">
        <v>110729</v>
      </c>
      <c r="G121" s="1" t="n">
        <v>107009</v>
      </c>
      <c r="H121" s="1" t="n">
        <v>-3720</v>
      </c>
      <c r="I121" s="1" t="s">
        <v>158</v>
      </c>
    </row>
    <row r="122" customFormat="false" ht="15" hidden="false" customHeight="false" outlineLevel="0" collapsed="false">
      <c r="A122" s="1" t="s">
        <v>287</v>
      </c>
      <c r="B122" s="1" t="s">
        <v>72</v>
      </c>
      <c r="C122" s="1" t="s">
        <v>155</v>
      </c>
      <c r="D122" s="1" t="s">
        <v>156</v>
      </c>
      <c r="E122" s="1" t="s">
        <v>180</v>
      </c>
      <c r="F122" s="1" t="n">
        <v>1064404</v>
      </c>
      <c r="G122" s="1" t="n">
        <v>1112621</v>
      </c>
      <c r="H122" s="1" t="n">
        <v>48217</v>
      </c>
      <c r="I122" s="1" t="s">
        <v>158</v>
      </c>
    </row>
    <row r="123" customFormat="false" ht="15" hidden="false" customHeight="false" outlineLevel="0" collapsed="false">
      <c r="A123" s="1" t="s">
        <v>288</v>
      </c>
      <c r="B123" s="1" t="s">
        <v>72</v>
      </c>
      <c r="C123" s="1" t="s">
        <v>160</v>
      </c>
      <c r="D123" s="1" t="s">
        <v>156</v>
      </c>
      <c r="E123" s="1" t="s">
        <v>165</v>
      </c>
      <c r="F123" s="1" t="n">
        <v>520863</v>
      </c>
      <c r="G123" s="1" t="n">
        <v>523519</v>
      </c>
      <c r="H123" s="1" t="n">
        <v>2657</v>
      </c>
      <c r="I123" s="1" t="s">
        <v>158</v>
      </c>
    </row>
    <row r="124" customFormat="false" ht="15" hidden="false" customHeight="false" outlineLevel="0" collapsed="false">
      <c r="A124" s="1" t="s">
        <v>289</v>
      </c>
      <c r="B124" s="1" t="s">
        <v>72</v>
      </c>
      <c r="C124" s="1" t="s">
        <v>162</v>
      </c>
      <c r="D124" s="1" t="s">
        <v>156</v>
      </c>
      <c r="E124" s="1" t="s">
        <v>172</v>
      </c>
      <c r="F124" s="1" t="n">
        <v>260754</v>
      </c>
      <c r="G124" s="1" t="n">
        <v>236585</v>
      </c>
      <c r="H124" s="1" t="n">
        <v>-24169</v>
      </c>
      <c r="I124" s="1" t="s">
        <v>158</v>
      </c>
    </row>
    <row r="125" customFormat="false" ht="15" hidden="false" customHeight="false" outlineLevel="0" collapsed="false">
      <c r="A125" s="1" t="s">
        <v>290</v>
      </c>
      <c r="B125" s="1" t="s">
        <v>72</v>
      </c>
      <c r="C125" s="1" t="s">
        <v>164</v>
      </c>
      <c r="D125" s="1" t="s">
        <v>156</v>
      </c>
      <c r="E125" s="1" t="s">
        <v>157</v>
      </c>
      <c r="F125" s="1" t="n">
        <v>227018</v>
      </c>
      <c r="G125" s="1" t="n">
        <v>200310</v>
      </c>
      <c r="H125" s="1" t="n">
        <v>-26708</v>
      </c>
      <c r="I125" s="1" t="s">
        <v>158</v>
      </c>
    </row>
    <row r="126" customFormat="false" ht="15" hidden="false" customHeight="false" outlineLevel="0" collapsed="false">
      <c r="A126" s="1" t="s">
        <v>291</v>
      </c>
      <c r="B126" s="1" t="s">
        <v>72</v>
      </c>
      <c r="C126" s="1" t="s">
        <v>167</v>
      </c>
      <c r="D126" s="1" t="s">
        <v>168</v>
      </c>
      <c r="E126" s="1" t="s">
        <v>157</v>
      </c>
      <c r="F126" s="1" t="n">
        <v>336331</v>
      </c>
      <c r="G126" s="1" t="n">
        <v>293841</v>
      </c>
      <c r="H126" s="1" t="n">
        <v>-42489</v>
      </c>
      <c r="I126" s="1" t="s">
        <v>158</v>
      </c>
    </row>
    <row r="127" customFormat="false" ht="15" hidden="false" customHeight="false" outlineLevel="0" collapsed="false">
      <c r="A127" s="1" t="s">
        <v>292</v>
      </c>
      <c r="B127" s="1" t="s">
        <v>72</v>
      </c>
      <c r="C127" s="1" t="s">
        <v>170</v>
      </c>
      <c r="D127" s="1" t="s">
        <v>168</v>
      </c>
      <c r="E127" s="1" t="s">
        <v>180</v>
      </c>
      <c r="F127" s="1" t="n">
        <v>167077</v>
      </c>
      <c r="G127" s="1" t="n">
        <v>181626</v>
      </c>
      <c r="H127" s="1" t="n">
        <v>14548</v>
      </c>
      <c r="I127" s="1" t="s">
        <v>158</v>
      </c>
    </row>
    <row r="128" customFormat="false" ht="15" hidden="false" customHeight="false" outlineLevel="0" collapsed="false">
      <c r="A128" s="1" t="s">
        <v>293</v>
      </c>
      <c r="B128" s="1" t="s">
        <v>73</v>
      </c>
      <c r="C128" s="1" t="s">
        <v>155</v>
      </c>
      <c r="D128" s="1" t="s">
        <v>156</v>
      </c>
      <c r="E128" s="1" t="s">
        <v>157</v>
      </c>
      <c r="F128" s="1" t="n">
        <v>1214349</v>
      </c>
      <c r="G128" s="1" t="n">
        <v>1169988</v>
      </c>
      <c r="H128" s="1" t="n">
        <v>-44361</v>
      </c>
      <c r="I128" s="1" t="s">
        <v>158</v>
      </c>
    </row>
    <row r="129" customFormat="false" ht="15" hidden="false" customHeight="false" outlineLevel="0" collapsed="false">
      <c r="A129" s="1" t="s">
        <v>294</v>
      </c>
      <c r="B129" s="1" t="s">
        <v>73</v>
      </c>
      <c r="C129" s="1" t="s">
        <v>160</v>
      </c>
      <c r="D129" s="1" t="s">
        <v>156</v>
      </c>
      <c r="E129" s="1" t="s">
        <v>157</v>
      </c>
      <c r="F129" s="1" t="n">
        <v>636575</v>
      </c>
      <c r="G129" s="1" t="n">
        <v>638691</v>
      </c>
      <c r="H129" s="1" t="n">
        <v>2116</v>
      </c>
      <c r="I129" s="1" t="s">
        <v>158</v>
      </c>
    </row>
    <row r="130" customFormat="false" ht="15" hidden="false" customHeight="false" outlineLevel="0" collapsed="false">
      <c r="A130" s="1" t="s">
        <v>295</v>
      </c>
      <c r="B130" s="1" t="s">
        <v>73</v>
      </c>
      <c r="C130" s="1" t="s">
        <v>162</v>
      </c>
      <c r="D130" s="1" t="s">
        <v>156</v>
      </c>
      <c r="E130" s="1" t="s">
        <v>180</v>
      </c>
      <c r="F130" s="1" t="n">
        <v>291819</v>
      </c>
      <c r="G130" s="1" t="n">
        <v>308385</v>
      </c>
      <c r="H130" s="1" t="n">
        <v>16566</v>
      </c>
      <c r="I130" s="1" t="s">
        <v>158</v>
      </c>
    </row>
    <row r="131" customFormat="false" ht="15" hidden="false" customHeight="false" outlineLevel="0" collapsed="false">
      <c r="A131" s="1" t="s">
        <v>296</v>
      </c>
      <c r="B131" s="1" t="s">
        <v>73</v>
      </c>
      <c r="C131" s="1" t="s">
        <v>164</v>
      </c>
      <c r="D131" s="1" t="s">
        <v>156</v>
      </c>
      <c r="E131" s="1" t="s">
        <v>180</v>
      </c>
      <c r="F131" s="1" t="n">
        <v>207840</v>
      </c>
      <c r="G131" s="1" t="n">
        <v>175391</v>
      </c>
      <c r="H131" s="1" t="n">
        <v>-32449</v>
      </c>
      <c r="I131" s="1" t="s">
        <v>158</v>
      </c>
    </row>
    <row r="132" customFormat="false" ht="15" hidden="false" customHeight="false" outlineLevel="0" collapsed="false">
      <c r="A132" s="1" t="s">
        <v>297</v>
      </c>
      <c r="B132" s="1" t="s">
        <v>73</v>
      </c>
      <c r="C132" s="1" t="s">
        <v>167</v>
      </c>
      <c r="D132" s="1" t="s">
        <v>168</v>
      </c>
      <c r="E132" s="1" t="s">
        <v>157</v>
      </c>
      <c r="F132" s="1" t="n">
        <v>362840</v>
      </c>
      <c r="G132" s="1" t="n">
        <v>377830</v>
      </c>
      <c r="H132" s="1" t="n">
        <v>14990</v>
      </c>
      <c r="I132" s="1" t="s">
        <v>158</v>
      </c>
    </row>
    <row r="133" customFormat="false" ht="15" hidden="false" customHeight="false" outlineLevel="0" collapsed="false">
      <c r="A133" s="1" t="s">
        <v>298</v>
      </c>
      <c r="B133" s="1" t="s">
        <v>73</v>
      </c>
      <c r="C133" s="1" t="s">
        <v>170</v>
      </c>
      <c r="D133" s="1" t="s">
        <v>168</v>
      </c>
      <c r="E133" s="1" t="s">
        <v>165</v>
      </c>
      <c r="F133" s="1" t="n">
        <v>196326</v>
      </c>
      <c r="G133" s="1" t="n">
        <v>195346</v>
      </c>
      <c r="H133" s="1" t="n">
        <v>-980</v>
      </c>
      <c r="I133" s="1" t="s">
        <v>158</v>
      </c>
    </row>
    <row r="134" customFormat="false" ht="15" hidden="false" customHeight="false" outlineLevel="0" collapsed="false">
      <c r="A134" s="1" t="s">
        <v>299</v>
      </c>
      <c r="B134" s="1" t="s">
        <v>74</v>
      </c>
      <c r="C134" s="1" t="s">
        <v>155</v>
      </c>
      <c r="D134" s="1" t="s">
        <v>156</v>
      </c>
      <c r="E134" s="1" t="s">
        <v>165</v>
      </c>
      <c r="F134" s="1" t="n">
        <v>933553</v>
      </c>
      <c r="G134" s="1" t="n">
        <v>660212</v>
      </c>
      <c r="H134" s="1" t="n">
        <v>-273341</v>
      </c>
      <c r="I134" s="1" t="s">
        <v>158</v>
      </c>
    </row>
    <row r="135" customFormat="false" ht="15" hidden="false" customHeight="false" outlineLevel="0" collapsed="false">
      <c r="A135" s="1" t="s">
        <v>300</v>
      </c>
      <c r="B135" s="1" t="s">
        <v>74</v>
      </c>
      <c r="C135" s="1" t="s">
        <v>160</v>
      </c>
      <c r="D135" s="1" t="s">
        <v>156</v>
      </c>
      <c r="E135" s="1" t="s">
        <v>172</v>
      </c>
      <c r="F135" s="1" t="n">
        <v>577875</v>
      </c>
      <c r="G135" s="1" t="n">
        <v>505150</v>
      </c>
      <c r="H135" s="1" t="n">
        <v>-72725</v>
      </c>
      <c r="I135" s="1" t="s">
        <v>158</v>
      </c>
    </row>
    <row r="136" customFormat="false" ht="15" hidden="false" customHeight="false" outlineLevel="0" collapsed="false">
      <c r="A136" s="1" t="s">
        <v>301</v>
      </c>
      <c r="B136" s="1" t="s">
        <v>74</v>
      </c>
      <c r="C136" s="1" t="s">
        <v>162</v>
      </c>
      <c r="D136" s="1" t="s">
        <v>156</v>
      </c>
      <c r="E136" s="1" t="s">
        <v>180</v>
      </c>
      <c r="F136" s="1" t="n">
        <v>245647</v>
      </c>
      <c r="G136" s="1" t="n">
        <v>230712</v>
      </c>
      <c r="H136" s="1" t="n">
        <v>-14935</v>
      </c>
      <c r="I136" s="1" t="s">
        <v>158</v>
      </c>
    </row>
    <row r="137" customFormat="false" ht="15" hidden="false" customHeight="false" outlineLevel="0" collapsed="false">
      <c r="A137" s="1" t="s">
        <v>302</v>
      </c>
      <c r="B137" s="1" t="s">
        <v>74</v>
      </c>
      <c r="C137" s="1" t="s">
        <v>164</v>
      </c>
      <c r="D137" s="1" t="s">
        <v>156</v>
      </c>
      <c r="E137" s="1" t="s">
        <v>172</v>
      </c>
      <c r="F137" s="1" t="n">
        <v>172906</v>
      </c>
      <c r="G137" s="1" t="n">
        <v>177802</v>
      </c>
      <c r="H137" s="1" t="n">
        <v>4896</v>
      </c>
      <c r="I137" s="1" t="s">
        <v>158</v>
      </c>
    </row>
    <row r="138" customFormat="false" ht="15" hidden="false" customHeight="false" outlineLevel="0" collapsed="false">
      <c r="A138" s="1" t="s">
        <v>303</v>
      </c>
      <c r="B138" s="1" t="s">
        <v>74</v>
      </c>
      <c r="C138" s="1" t="s">
        <v>167</v>
      </c>
      <c r="D138" s="1" t="s">
        <v>168</v>
      </c>
      <c r="E138" s="1" t="s">
        <v>157</v>
      </c>
      <c r="F138" s="1" t="n">
        <v>315311</v>
      </c>
      <c r="G138" s="1" t="n">
        <v>325480</v>
      </c>
      <c r="H138" s="1" t="n">
        <v>10169</v>
      </c>
      <c r="I138" s="1" t="s">
        <v>158</v>
      </c>
    </row>
    <row r="139" customFormat="false" ht="15" hidden="false" customHeight="false" outlineLevel="0" collapsed="false">
      <c r="A139" s="1" t="s">
        <v>304</v>
      </c>
      <c r="B139" s="1" t="s">
        <v>74</v>
      </c>
      <c r="C139" s="1" t="s">
        <v>170</v>
      </c>
      <c r="D139" s="1" t="s">
        <v>168</v>
      </c>
      <c r="E139" s="1" t="s">
        <v>180</v>
      </c>
      <c r="F139" s="1" t="n">
        <v>150903</v>
      </c>
      <c r="G139" s="1" t="n">
        <v>154921</v>
      </c>
      <c r="H139" s="1" t="n">
        <v>4018</v>
      </c>
      <c r="I139" s="1" t="s">
        <v>158</v>
      </c>
    </row>
    <row r="140" customFormat="false" ht="15" hidden="false" customHeight="false" outlineLevel="0" collapsed="false">
      <c r="A140" s="1" t="s">
        <v>305</v>
      </c>
      <c r="B140" s="1" t="s">
        <v>75</v>
      </c>
      <c r="C140" s="1" t="s">
        <v>155</v>
      </c>
      <c r="D140" s="1" t="s">
        <v>156</v>
      </c>
      <c r="E140" s="1" t="s">
        <v>157</v>
      </c>
      <c r="F140" s="1" t="n">
        <v>1227402</v>
      </c>
      <c r="G140" s="1" t="n">
        <v>1155843</v>
      </c>
      <c r="H140" s="1" t="n">
        <v>-71558</v>
      </c>
      <c r="I140" s="1" t="s">
        <v>158</v>
      </c>
    </row>
    <row r="141" customFormat="false" ht="15" hidden="false" customHeight="false" outlineLevel="0" collapsed="false">
      <c r="A141" s="1" t="s">
        <v>306</v>
      </c>
      <c r="B141" s="1" t="s">
        <v>75</v>
      </c>
      <c r="C141" s="1" t="s">
        <v>160</v>
      </c>
      <c r="D141" s="1" t="s">
        <v>156</v>
      </c>
      <c r="E141" s="1" t="s">
        <v>165</v>
      </c>
      <c r="F141" s="1" t="n">
        <v>543416</v>
      </c>
      <c r="G141" s="1" t="n">
        <v>534934</v>
      </c>
      <c r="H141" s="1" t="n">
        <v>-8482</v>
      </c>
      <c r="I141" s="1" t="s">
        <v>158</v>
      </c>
    </row>
    <row r="142" customFormat="false" ht="15" hidden="false" customHeight="false" outlineLevel="0" collapsed="false">
      <c r="A142" s="1" t="s">
        <v>307</v>
      </c>
      <c r="B142" s="1" t="s">
        <v>75</v>
      </c>
      <c r="C142" s="1" t="s">
        <v>162</v>
      </c>
      <c r="D142" s="1" t="s">
        <v>156</v>
      </c>
      <c r="E142" s="1" t="s">
        <v>157</v>
      </c>
      <c r="F142" s="1" t="n">
        <v>267988</v>
      </c>
      <c r="G142" s="1" t="n">
        <v>282630</v>
      </c>
      <c r="H142" s="1" t="n">
        <v>14642</v>
      </c>
      <c r="I142" s="1" t="s">
        <v>158</v>
      </c>
    </row>
    <row r="143" customFormat="false" ht="15" hidden="false" customHeight="false" outlineLevel="0" collapsed="false">
      <c r="A143" s="1" t="s">
        <v>308</v>
      </c>
      <c r="B143" s="1" t="s">
        <v>75</v>
      </c>
      <c r="C143" s="1" t="s">
        <v>164</v>
      </c>
      <c r="D143" s="1" t="s">
        <v>156</v>
      </c>
      <c r="E143" s="1" t="s">
        <v>180</v>
      </c>
      <c r="F143" s="1" t="n">
        <v>230335</v>
      </c>
      <c r="G143" s="1" t="n">
        <v>218098</v>
      </c>
      <c r="H143" s="1" t="n">
        <v>-12238</v>
      </c>
      <c r="I143" s="1" t="s">
        <v>158</v>
      </c>
    </row>
    <row r="144" customFormat="false" ht="15" hidden="false" customHeight="false" outlineLevel="0" collapsed="false">
      <c r="A144" s="1" t="s">
        <v>309</v>
      </c>
      <c r="B144" s="1" t="s">
        <v>75</v>
      </c>
      <c r="C144" s="1" t="s">
        <v>167</v>
      </c>
      <c r="D144" s="1" t="s">
        <v>168</v>
      </c>
      <c r="E144" s="1" t="s">
        <v>165</v>
      </c>
      <c r="F144" s="1" t="n">
        <v>350601</v>
      </c>
      <c r="G144" s="1" t="n">
        <v>343400</v>
      </c>
      <c r="H144" s="1" t="n">
        <v>-7202</v>
      </c>
      <c r="I144" s="1" t="s">
        <v>158</v>
      </c>
    </row>
    <row r="145" customFormat="false" ht="15" hidden="false" customHeight="false" outlineLevel="0" collapsed="false">
      <c r="A145" s="1" t="s">
        <v>310</v>
      </c>
      <c r="B145" s="1" t="s">
        <v>75</v>
      </c>
      <c r="C145" s="1" t="s">
        <v>170</v>
      </c>
      <c r="D145" s="1" t="s">
        <v>168</v>
      </c>
      <c r="E145" s="1" t="s">
        <v>180</v>
      </c>
      <c r="F145" s="1" t="n">
        <v>186271</v>
      </c>
      <c r="G145" s="1" t="n">
        <v>176141</v>
      </c>
      <c r="H145" s="1" t="n">
        <v>-10130</v>
      </c>
      <c r="I145" s="1" t="s">
        <v>158</v>
      </c>
    </row>
    <row r="146" customFormat="false" ht="15" hidden="false" customHeight="false" outlineLevel="0" collapsed="false">
      <c r="A146" s="1" t="s">
        <v>311</v>
      </c>
      <c r="B146" s="1" t="s">
        <v>76</v>
      </c>
      <c r="C146" s="1" t="s">
        <v>155</v>
      </c>
      <c r="D146" s="1" t="s">
        <v>156</v>
      </c>
      <c r="E146" s="1" t="s">
        <v>172</v>
      </c>
      <c r="F146" s="1" t="n">
        <v>966957</v>
      </c>
      <c r="G146" s="1" t="n">
        <v>824753</v>
      </c>
      <c r="H146" s="1" t="n">
        <v>-142203</v>
      </c>
      <c r="I146" s="1" t="s">
        <v>158</v>
      </c>
    </row>
    <row r="147" customFormat="false" ht="15" hidden="false" customHeight="false" outlineLevel="0" collapsed="false">
      <c r="A147" s="1" t="s">
        <v>312</v>
      </c>
      <c r="B147" s="1" t="s">
        <v>76</v>
      </c>
      <c r="C147" s="1" t="s">
        <v>160</v>
      </c>
      <c r="D147" s="1" t="s">
        <v>156</v>
      </c>
      <c r="E147" s="1" t="s">
        <v>165</v>
      </c>
      <c r="F147" s="1" t="n">
        <v>550982</v>
      </c>
      <c r="G147" s="1" t="n">
        <v>452012</v>
      </c>
      <c r="H147" s="1" t="n">
        <v>-98970</v>
      </c>
      <c r="I147" s="1" t="s">
        <v>158</v>
      </c>
    </row>
    <row r="148" customFormat="false" ht="15" hidden="false" customHeight="false" outlineLevel="0" collapsed="false">
      <c r="A148" s="1" t="s">
        <v>313</v>
      </c>
      <c r="B148" s="1" t="s">
        <v>76</v>
      </c>
      <c r="C148" s="1" t="s">
        <v>162</v>
      </c>
      <c r="D148" s="1" t="s">
        <v>156</v>
      </c>
      <c r="E148" s="1" t="s">
        <v>180</v>
      </c>
      <c r="F148" s="1" t="n">
        <v>302158</v>
      </c>
      <c r="G148" s="1" t="n">
        <v>305357</v>
      </c>
      <c r="H148" s="1" t="n">
        <v>3200</v>
      </c>
      <c r="I148" s="1" t="s">
        <v>158</v>
      </c>
    </row>
    <row r="149" customFormat="false" ht="15" hidden="false" customHeight="false" outlineLevel="0" collapsed="false">
      <c r="A149" s="1" t="s">
        <v>314</v>
      </c>
      <c r="B149" s="1" t="s">
        <v>76</v>
      </c>
      <c r="C149" s="1" t="s">
        <v>164</v>
      </c>
      <c r="D149" s="1" t="s">
        <v>156</v>
      </c>
      <c r="E149" s="1" t="s">
        <v>165</v>
      </c>
      <c r="F149" s="1" t="n">
        <v>183470</v>
      </c>
      <c r="G149" s="1" t="n">
        <v>182625</v>
      </c>
      <c r="H149" s="1" t="n">
        <v>-845</v>
      </c>
      <c r="I149" s="1" t="s">
        <v>158</v>
      </c>
    </row>
    <row r="150" customFormat="false" ht="15" hidden="false" customHeight="false" outlineLevel="0" collapsed="false">
      <c r="A150" s="1" t="s">
        <v>315</v>
      </c>
      <c r="B150" s="1" t="s">
        <v>76</v>
      </c>
      <c r="C150" s="1" t="s">
        <v>167</v>
      </c>
      <c r="D150" s="1" t="s">
        <v>168</v>
      </c>
      <c r="E150" s="1" t="s">
        <v>172</v>
      </c>
      <c r="F150" s="1" t="n">
        <v>312383</v>
      </c>
      <c r="G150" s="1" t="n">
        <v>346023</v>
      </c>
      <c r="H150" s="1" t="n">
        <v>33640</v>
      </c>
      <c r="I150" s="1" t="s">
        <v>158</v>
      </c>
    </row>
    <row r="151" customFormat="false" ht="15" hidden="false" customHeight="false" outlineLevel="0" collapsed="false">
      <c r="A151" s="1" t="s">
        <v>316</v>
      </c>
      <c r="B151" s="1" t="s">
        <v>76</v>
      </c>
      <c r="C151" s="1" t="s">
        <v>170</v>
      </c>
      <c r="D151" s="1" t="s">
        <v>168</v>
      </c>
      <c r="E151" s="1" t="s">
        <v>157</v>
      </c>
      <c r="F151" s="1" t="n">
        <v>165934</v>
      </c>
      <c r="G151" s="1" t="n">
        <v>162965</v>
      </c>
      <c r="H151" s="1" t="n">
        <v>-2970</v>
      </c>
      <c r="I151" s="1" t="s">
        <v>158</v>
      </c>
    </row>
    <row r="152" customFormat="false" ht="15" hidden="false" customHeight="false" outlineLevel="0" collapsed="false">
      <c r="A152" s="1" t="s">
        <v>317</v>
      </c>
      <c r="B152" s="1" t="s">
        <v>77</v>
      </c>
      <c r="C152" s="1" t="s">
        <v>155</v>
      </c>
      <c r="D152" s="1" t="s">
        <v>156</v>
      </c>
      <c r="E152" s="1" t="s">
        <v>172</v>
      </c>
      <c r="F152" s="1" t="n">
        <v>807486</v>
      </c>
      <c r="G152" s="1" t="n">
        <v>821887</v>
      </c>
      <c r="H152" s="1" t="n">
        <v>14401</v>
      </c>
      <c r="I152" s="1" t="s">
        <v>158</v>
      </c>
    </row>
    <row r="153" customFormat="false" ht="15" hidden="false" customHeight="false" outlineLevel="0" collapsed="false">
      <c r="A153" s="1" t="s">
        <v>318</v>
      </c>
      <c r="B153" s="1" t="s">
        <v>77</v>
      </c>
      <c r="C153" s="1" t="s">
        <v>160</v>
      </c>
      <c r="D153" s="1" t="s">
        <v>156</v>
      </c>
      <c r="E153" s="1" t="s">
        <v>157</v>
      </c>
      <c r="F153" s="1" t="n">
        <v>398889</v>
      </c>
      <c r="G153" s="1" t="n">
        <v>389231</v>
      </c>
      <c r="H153" s="1" t="n">
        <v>-9658</v>
      </c>
      <c r="I153" s="1" t="s">
        <v>158</v>
      </c>
    </row>
    <row r="154" customFormat="false" ht="15" hidden="false" customHeight="false" outlineLevel="0" collapsed="false">
      <c r="A154" s="1" t="s">
        <v>319</v>
      </c>
      <c r="B154" s="1" t="s">
        <v>77</v>
      </c>
      <c r="C154" s="1" t="s">
        <v>162</v>
      </c>
      <c r="D154" s="1" t="s">
        <v>156</v>
      </c>
      <c r="E154" s="1" t="s">
        <v>180</v>
      </c>
      <c r="F154" s="1" t="n">
        <v>210593</v>
      </c>
      <c r="G154" s="1" t="n">
        <v>225261</v>
      </c>
      <c r="H154" s="1" t="n">
        <v>14668</v>
      </c>
      <c r="I154" s="1" t="s">
        <v>158</v>
      </c>
    </row>
    <row r="155" customFormat="false" ht="15" hidden="false" customHeight="false" outlineLevel="0" collapsed="false">
      <c r="A155" s="1" t="s">
        <v>320</v>
      </c>
      <c r="B155" s="1" t="s">
        <v>77</v>
      </c>
      <c r="C155" s="1" t="s">
        <v>164</v>
      </c>
      <c r="D155" s="1" t="s">
        <v>156</v>
      </c>
      <c r="E155" s="1" t="s">
        <v>165</v>
      </c>
      <c r="F155" s="1" t="n">
        <v>159936</v>
      </c>
      <c r="G155" s="1" t="n">
        <v>141522</v>
      </c>
      <c r="H155" s="1" t="n">
        <v>-18414</v>
      </c>
      <c r="I155" s="1" t="s">
        <v>158</v>
      </c>
    </row>
    <row r="156" customFormat="false" ht="15" hidden="false" customHeight="false" outlineLevel="0" collapsed="false">
      <c r="A156" s="1" t="s">
        <v>321</v>
      </c>
      <c r="B156" s="1" t="s">
        <v>77</v>
      </c>
      <c r="C156" s="1" t="s">
        <v>167</v>
      </c>
      <c r="D156" s="1" t="s">
        <v>168</v>
      </c>
      <c r="E156" s="1" t="s">
        <v>180</v>
      </c>
      <c r="F156" s="1" t="n">
        <v>308043</v>
      </c>
      <c r="G156" s="1" t="n">
        <v>277861</v>
      </c>
      <c r="H156" s="1" t="n">
        <v>-30183</v>
      </c>
      <c r="I156" s="1" t="s">
        <v>158</v>
      </c>
    </row>
    <row r="157" customFormat="false" ht="15" hidden="false" customHeight="false" outlineLevel="0" collapsed="false">
      <c r="A157" s="1" t="s">
        <v>322</v>
      </c>
      <c r="B157" s="1" t="s">
        <v>77</v>
      </c>
      <c r="C157" s="1" t="s">
        <v>170</v>
      </c>
      <c r="D157" s="1" t="s">
        <v>168</v>
      </c>
      <c r="E157" s="1" t="s">
        <v>165</v>
      </c>
      <c r="F157" s="1" t="n">
        <v>135554</v>
      </c>
      <c r="G157" s="1" t="n">
        <v>155115</v>
      </c>
      <c r="H157" s="1" t="n">
        <v>19562</v>
      </c>
      <c r="I157" s="1" t="s">
        <v>158</v>
      </c>
    </row>
    <row r="158" customFormat="false" ht="15" hidden="false" customHeight="false" outlineLevel="0" collapsed="false">
      <c r="A158" s="1" t="s">
        <v>323</v>
      </c>
      <c r="B158" s="1" t="s">
        <v>78</v>
      </c>
      <c r="C158" s="1" t="s">
        <v>155</v>
      </c>
      <c r="D158" s="1" t="s">
        <v>156</v>
      </c>
      <c r="E158" s="1" t="s">
        <v>180</v>
      </c>
      <c r="F158" s="1" t="n">
        <v>931121</v>
      </c>
      <c r="G158" s="1" t="n">
        <v>961170</v>
      </c>
      <c r="H158" s="1" t="n">
        <v>30048</v>
      </c>
      <c r="I158" s="1" t="s">
        <v>158</v>
      </c>
    </row>
    <row r="159" customFormat="false" ht="15" hidden="false" customHeight="false" outlineLevel="0" collapsed="false">
      <c r="A159" s="1" t="s">
        <v>324</v>
      </c>
      <c r="B159" s="1" t="s">
        <v>78</v>
      </c>
      <c r="C159" s="1" t="s">
        <v>160</v>
      </c>
      <c r="D159" s="1" t="s">
        <v>156</v>
      </c>
      <c r="E159" s="1" t="s">
        <v>165</v>
      </c>
      <c r="F159" s="1" t="n">
        <v>503846</v>
      </c>
      <c r="G159" s="1" t="n">
        <v>531022</v>
      </c>
      <c r="H159" s="1" t="n">
        <v>27176</v>
      </c>
      <c r="I159" s="1" t="s">
        <v>158</v>
      </c>
    </row>
    <row r="160" customFormat="false" ht="15" hidden="false" customHeight="false" outlineLevel="0" collapsed="false">
      <c r="A160" s="1" t="s">
        <v>325</v>
      </c>
      <c r="B160" s="1" t="s">
        <v>78</v>
      </c>
      <c r="C160" s="1" t="s">
        <v>162</v>
      </c>
      <c r="D160" s="1" t="s">
        <v>156</v>
      </c>
      <c r="E160" s="1" t="s">
        <v>172</v>
      </c>
      <c r="F160" s="1" t="n">
        <v>267318</v>
      </c>
      <c r="G160" s="1" t="n">
        <v>238671</v>
      </c>
      <c r="H160" s="1" t="n">
        <v>-28647</v>
      </c>
      <c r="I160" s="1" t="s">
        <v>158</v>
      </c>
    </row>
    <row r="161" customFormat="false" ht="15" hidden="false" customHeight="false" outlineLevel="0" collapsed="false">
      <c r="A161" s="1" t="s">
        <v>326</v>
      </c>
      <c r="B161" s="1" t="s">
        <v>78</v>
      </c>
      <c r="C161" s="1" t="s">
        <v>164</v>
      </c>
      <c r="D161" s="1" t="s">
        <v>156</v>
      </c>
      <c r="E161" s="1" t="s">
        <v>157</v>
      </c>
      <c r="F161" s="1" t="n">
        <v>193448</v>
      </c>
      <c r="G161" s="1" t="n">
        <v>213509</v>
      </c>
      <c r="H161" s="1" t="n">
        <v>20061</v>
      </c>
      <c r="I161" s="1" t="s">
        <v>158</v>
      </c>
    </row>
    <row r="162" customFormat="false" ht="15" hidden="false" customHeight="false" outlineLevel="0" collapsed="false">
      <c r="A162" s="1" t="s">
        <v>327</v>
      </c>
      <c r="B162" s="1" t="s">
        <v>78</v>
      </c>
      <c r="C162" s="1" t="s">
        <v>167</v>
      </c>
      <c r="D162" s="1" t="s">
        <v>168</v>
      </c>
      <c r="E162" s="1" t="s">
        <v>165</v>
      </c>
      <c r="F162" s="1" t="n">
        <v>247010</v>
      </c>
      <c r="G162" s="1" t="n">
        <v>229750</v>
      </c>
      <c r="H162" s="1" t="n">
        <v>-17260</v>
      </c>
      <c r="I162" s="1" t="s">
        <v>158</v>
      </c>
    </row>
    <row r="163" customFormat="false" ht="15" hidden="false" customHeight="false" outlineLevel="0" collapsed="false">
      <c r="A163" s="1" t="s">
        <v>328</v>
      </c>
      <c r="B163" s="1" t="s">
        <v>78</v>
      </c>
      <c r="C163" s="1" t="s">
        <v>170</v>
      </c>
      <c r="D163" s="1" t="s">
        <v>168</v>
      </c>
      <c r="E163" s="1" t="s">
        <v>180</v>
      </c>
      <c r="F163" s="1" t="n">
        <v>124531</v>
      </c>
      <c r="G163" s="1" t="n">
        <v>137125</v>
      </c>
      <c r="H163" s="1" t="n">
        <v>12594</v>
      </c>
      <c r="I163" s="1" t="s">
        <v>158</v>
      </c>
    </row>
    <row r="164" customFormat="false" ht="15" hidden="false" customHeight="false" outlineLevel="0" collapsed="false">
      <c r="A164" s="1" t="s">
        <v>329</v>
      </c>
      <c r="B164" s="1" t="s">
        <v>79</v>
      </c>
      <c r="C164" s="1" t="s">
        <v>155</v>
      </c>
      <c r="D164" s="1" t="s">
        <v>156</v>
      </c>
      <c r="E164" s="1" t="s">
        <v>157</v>
      </c>
      <c r="F164" s="1" t="n">
        <v>989940</v>
      </c>
      <c r="G164" s="1" t="n">
        <v>990280</v>
      </c>
      <c r="H164" s="1" t="n">
        <v>340</v>
      </c>
      <c r="I164" s="1" t="s">
        <v>158</v>
      </c>
    </row>
    <row r="165" customFormat="false" ht="15" hidden="false" customHeight="false" outlineLevel="0" collapsed="false">
      <c r="A165" s="1" t="s">
        <v>330</v>
      </c>
      <c r="B165" s="1" t="s">
        <v>79</v>
      </c>
      <c r="C165" s="1" t="s">
        <v>160</v>
      </c>
      <c r="D165" s="1" t="s">
        <v>156</v>
      </c>
      <c r="E165" s="1" t="s">
        <v>180</v>
      </c>
      <c r="F165" s="1" t="n">
        <v>452241</v>
      </c>
      <c r="G165" s="1" t="n">
        <v>458708</v>
      </c>
      <c r="H165" s="1" t="n">
        <v>6466</v>
      </c>
      <c r="I165" s="1" t="s">
        <v>158</v>
      </c>
    </row>
    <row r="166" customFormat="false" ht="15" hidden="false" customHeight="false" outlineLevel="0" collapsed="false">
      <c r="A166" s="1" t="s">
        <v>331</v>
      </c>
      <c r="B166" s="1" t="s">
        <v>79</v>
      </c>
      <c r="C166" s="1" t="s">
        <v>162</v>
      </c>
      <c r="D166" s="1" t="s">
        <v>156</v>
      </c>
      <c r="E166" s="1" t="s">
        <v>165</v>
      </c>
      <c r="F166" s="1" t="n">
        <v>326104</v>
      </c>
      <c r="G166" s="1" t="n">
        <v>331060</v>
      </c>
      <c r="H166" s="1" t="n">
        <v>4956</v>
      </c>
      <c r="I166" s="1" t="s">
        <v>158</v>
      </c>
    </row>
    <row r="167" customFormat="false" ht="15" hidden="false" customHeight="false" outlineLevel="0" collapsed="false">
      <c r="A167" s="1" t="s">
        <v>332</v>
      </c>
      <c r="B167" s="1" t="s">
        <v>79</v>
      </c>
      <c r="C167" s="1" t="s">
        <v>164</v>
      </c>
      <c r="D167" s="1" t="s">
        <v>156</v>
      </c>
      <c r="E167" s="1" t="s">
        <v>180</v>
      </c>
      <c r="F167" s="1" t="n">
        <v>210141</v>
      </c>
      <c r="G167" s="1" t="n">
        <v>218849</v>
      </c>
      <c r="H167" s="1" t="n">
        <v>8708</v>
      </c>
      <c r="I167" s="1" t="s">
        <v>158</v>
      </c>
    </row>
    <row r="168" customFormat="false" ht="15" hidden="false" customHeight="false" outlineLevel="0" collapsed="false">
      <c r="A168" s="1" t="s">
        <v>333</v>
      </c>
      <c r="B168" s="1" t="s">
        <v>79</v>
      </c>
      <c r="C168" s="1" t="s">
        <v>167</v>
      </c>
      <c r="D168" s="1" t="s">
        <v>168</v>
      </c>
      <c r="E168" s="1" t="s">
        <v>157</v>
      </c>
      <c r="F168" s="1" t="n">
        <v>328808</v>
      </c>
      <c r="G168" s="1" t="n">
        <v>331408</v>
      </c>
      <c r="H168" s="1" t="n">
        <v>2600</v>
      </c>
      <c r="I168" s="1" t="s">
        <v>158</v>
      </c>
    </row>
    <row r="169" customFormat="false" ht="15" hidden="false" customHeight="false" outlineLevel="0" collapsed="false">
      <c r="A169" s="1" t="s">
        <v>334</v>
      </c>
      <c r="B169" s="1" t="s">
        <v>79</v>
      </c>
      <c r="C169" s="1" t="s">
        <v>170</v>
      </c>
      <c r="D169" s="1" t="s">
        <v>168</v>
      </c>
      <c r="E169" s="1" t="s">
        <v>172</v>
      </c>
      <c r="F169" s="1" t="n">
        <v>160748</v>
      </c>
      <c r="G169" s="1" t="n">
        <v>148054</v>
      </c>
      <c r="H169" s="1" t="n">
        <v>-12694</v>
      </c>
      <c r="I169" s="1" t="s">
        <v>158</v>
      </c>
    </row>
    <row r="170" customFormat="false" ht="15" hidden="false" customHeight="false" outlineLevel="0" collapsed="false">
      <c r="A170" s="1" t="s">
        <v>335</v>
      </c>
      <c r="B170" s="1" t="s">
        <v>80</v>
      </c>
      <c r="C170" s="1" t="s">
        <v>155</v>
      </c>
      <c r="D170" s="1" t="s">
        <v>156</v>
      </c>
      <c r="E170" s="1" t="s">
        <v>172</v>
      </c>
      <c r="F170" s="1" t="n">
        <v>791229</v>
      </c>
      <c r="G170" s="1" t="n">
        <v>701289</v>
      </c>
      <c r="H170" s="1" t="n">
        <v>-89940</v>
      </c>
      <c r="I170" s="1" t="s">
        <v>158</v>
      </c>
    </row>
    <row r="171" customFormat="false" ht="15" hidden="false" customHeight="false" outlineLevel="0" collapsed="false">
      <c r="A171" s="1" t="s">
        <v>336</v>
      </c>
      <c r="B171" s="1" t="s">
        <v>80</v>
      </c>
      <c r="C171" s="1" t="s">
        <v>160</v>
      </c>
      <c r="D171" s="1" t="s">
        <v>156</v>
      </c>
      <c r="E171" s="1" t="s">
        <v>172</v>
      </c>
      <c r="F171" s="1" t="n">
        <v>284529</v>
      </c>
      <c r="G171" s="1" t="n">
        <v>247284</v>
      </c>
      <c r="H171" s="1" t="n">
        <v>-37245</v>
      </c>
      <c r="I171" s="1" t="s">
        <v>158</v>
      </c>
    </row>
    <row r="172" customFormat="false" ht="15" hidden="false" customHeight="false" outlineLevel="0" collapsed="false">
      <c r="A172" s="1" t="s">
        <v>337</v>
      </c>
      <c r="B172" s="1" t="s">
        <v>80</v>
      </c>
      <c r="C172" s="1" t="s">
        <v>162</v>
      </c>
      <c r="D172" s="1" t="s">
        <v>156</v>
      </c>
      <c r="E172" s="1" t="s">
        <v>165</v>
      </c>
      <c r="F172" s="1" t="n">
        <v>199579</v>
      </c>
      <c r="G172" s="1" t="n">
        <v>202029</v>
      </c>
      <c r="H172" s="1" t="n">
        <v>2450</v>
      </c>
      <c r="I172" s="1" t="s">
        <v>158</v>
      </c>
    </row>
    <row r="173" customFormat="false" ht="15" hidden="false" customHeight="false" outlineLevel="0" collapsed="false">
      <c r="A173" s="1" t="s">
        <v>338</v>
      </c>
      <c r="B173" s="1" t="s">
        <v>80</v>
      </c>
      <c r="C173" s="1" t="s">
        <v>164</v>
      </c>
      <c r="D173" s="1" t="s">
        <v>156</v>
      </c>
      <c r="E173" s="1" t="s">
        <v>180</v>
      </c>
      <c r="F173" s="1" t="n">
        <v>157024</v>
      </c>
      <c r="G173" s="1" t="n">
        <v>172484</v>
      </c>
      <c r="H173" s="1" t="n">
        <v>15460</v>
      </c>
      <c r="I173" s="1" t="s">
        <v>158</v>
      </c>
    </row>
    <row r="174" customFormat="false" ht="15" hidden="false" customHeight="false" outlineLevel="0" collapsed="false">
      <c r="A174" s="1" t="s">
        <v>339</v>
      </c>
      <c r="B174" s="1" t="s">
        <v>80</v>
      </c>
      <c r="C174" s="1" t="s">
        <v>167</v>
      </c>
      <c r="D174" s="1" t="s">
        <v>168</v>
      </c>
      <c r="E174" s="1" t="s">
        <v>180</v>
      </c>
      <c r="F174" s="1" t="n">
        <v>248882</v>
      </c>
      <c r="G174" s="1" t="n">
        <v>248240</v>
      </c>
      <c r="H174" s="1" t="n">
        <v>-642</v>
      </c>
      <c r="I174" s="1" t="s">
        <v>158</v>
      </c>
    </row>
    <row r="175" customFormat="false" ht="15" hidden="false" customHeight="false" outlineLevel="0" collapsed="false">
      <c r="A175" s="1" t="s">
        <v>340</v>
      </c>
      <c r="B175" s="1" t="s">
        <v>80</v>
      </c>
      <c r="C175" s="1" t="s">
        <v>170</v>
      </c>
      <c r="D175" s="1" t="s">
        <v>168</v>
      </c>
      <c r="E175" s="1" t="s">
        <v>157</v>
      </c>
      <c r="F175" s="1" t="n">
        <v>101531</v>
      </c>
      <c r="G175" s="1" t="n">
        <v>112910</v>
      </c>
      <c r="H175" s="1" t="n">
        <v>11378</v>
      </c>
      <c r="I175" s="1" t="s">
        <v>158</v>
      </c>
    </row>
    <row r="176" customFormat="false" ht="15" hidden="false" customHeight="false" outlineLevel="0" collapsed="false">
      <c r="A176" s="1" t="s">
        <v>341</v>
      </c>
      <c r="B176" s="1" t="s">
        <v>81</v>
      </c>
      <c r="C176" s="1" t="s">
        <v>155</v>
      </c>
      <c r="D176" s="1" t="s">
        <v>156</v>
      </c>
      <c r="E176" s="1" t="s">
        <v>157</v>
      </c>
      <c r="F176" s="1" t="n">
        <v>1239126</v>
      </c>
      <c r="G176" s="1" t="n">
        <v>1332581</v>
      </c>
      <c r="H176" s="1" t="n">
        <v>93455</v>
      </c>
      <c r="I176" s="1" t="s">
        <v>158</v>
      </c>
    </row>
    <row r="177" customFormat="false" ht="15" hidden="false" customHeight="false" outlineLevel="0" collapsed="false">
      <c r="A177" s="1" t="s">
        <v>342</v>
      </c>
      <c r="B177" s="1" t="s">
        <v>81</v>
      </c>
      <c r="C177" s="1" t="s">
        <v>160</v>
      </c>
      <c r="D177" s="1" t="s">
        <v>156</v>
      </c>
      <c r="E177" s="1" t="s">
        <v>180</v>
      </c>
      <c r="F177" s="1" t="n">
        <v>779199</v>
      </c>
      <c r="G177" s="1" t="n">
        <v>774521</v>
      </c>
      <c r="H177" s="1" t="n">
        <v>-4678</v>
      </c>
      <c r="I177" s="1" t="s">
        <v>158</v>
      </c>
    </row>
    <row r="178" customFormat="false" ht="15" hidden="false" customHeight="false" outlineLevel="0" collapsed="false">
      <c r="A178" s="1" t="s">
        <v>343</v>
      </c>
      <c r="B178" s="1" t="s">
        <v>81</v>
      </c>
      <c r="C178" s="1" t="s">
        <v>162</v>
      </c>
      <c r="D178" s="1" t="s">
        <v>156</v>
      </c>
      <c r="E178" s="1" t="s">
        <v>165</v>
      </c>
      <c r="F178" s="1" t="n">
        <v>304800</v>
      </c>
      <c r="G178" s="1" t="n">
        <v>334912</v>
      </c>
      <c r="H178" s="1" t="n">
        <v>30112</v>
      </c>
      <c r="I178" s="1" t="s">
        <v>158</v>
      </c>
    </row>
    <row r="179" customFormat="false" ht="15" hidden="false" customHeight="false" outlineLevel="0" collapsed="false">
      <c r="A179" s="1" t="s">
        <v>344</v>
      </c>
      <c r="B179" s="1" t="s">
        <v>81</v>
      </c>
      <c r="C179" s="1" t="s">
        <v>164</v>
      </c>
      <c r="D179" s="1" t="s">
        <v>156</v>
      </c>
      <c r="E179" s="1" t="s">
        <v>157</v>
      </c>
      <c r="F179" s="1" t="n">
        <v>209874</v>
      </c>
      <c r="G179" s="1" t="n">
        <v>227233</v>
      </c>
      <c r="H179" s="1" t="n">
        <v>17359</v>
      </c>
      <c r="I179" s="1" t="s">
        <v>158</v>
      </c>
    </row>
    <row r="180" customFormat="false" ht="15" hidden="false" customHeight="false" outlineLevel="0" collapsed="false">
      <c r="A180" s="1" t="s">
        <v>345</v>
      </c>
      <c r="B180" s="1" t="s">
        <v>81</v>
      </c>
      <c r="C180" s="1" t="s">
        <v>167</v>
      </c>
      <c r="D180" s="1" t="s">
        <v>168</v>
      </c>
      <c r="E180" s="1" t="s">
        <v>180</v>
      </c>
      <c r="F180" s="1" t="n">
        <v>436563</v>
      </c>
      <c r="G180" s="1" t="n">
        <v>492484</v>
      </c>
      <c r="H180" s="1" t="n">
        <v>55920</v>
      </c>
      <c r="I180" s="1" t="s">
        <v>158</v>
      </c>
    </row>
    <row r="181" customFormat="false" ht="15" hidden="false" customHeight="false" outlineLevel="0" collapsed="false">
      <c r="A181" s="1" t="s">
        <v>346</v>
      </c>
      <c r="B181" s="1" t="s">
        <v>81</v>
      </c>
      <c r="C181" s="1" t="s">
        <v>170</v>
      </c>
      <c r="D181" s="1" t="s">
        <v>168</v>
      </c>
      <c r="E181" s="1" t="s">
        <v>172</v>
      </c>
      <c r="F181" s="1" t="n">
        <v>165310</v>
      </c>
      <c r="G181" s="1" t="n">
        <v>159331</v>
      </c>
      <c r="H181" s="1" t="n">
        <v>-5979</v>
      </c>
      <c r="I181" s="1" t="s">
        <v>158</v>
      </c>
    </row>
    <row r="182" customFormat="false" ht="15" hidden="false" customHeight="false" outlineLevel="0" collapsed="false">
      <c r="A182" s="1" t="s">
        <v>347</v>
      </c>
      <c r="B182" s="1" t="s">
        <v>82</v>
      </c>
      <c r="C182" s="1" t="s">
        <v>155</v>
      </c>
      <c r="D182" s="1" t="s">
        <v>156</v>
      </c>
      <c r="E182" s="1" t="s">
        <v>180</v>
      </c>
      <c r="F182" s="1" t="n">
        <v>1278459</v>
      </c>
      <c r="G182" s="1" t="n">
        <v>1415123</v>
      </c>
      <c r="H182" s="1" t="n">
        <v>136664</v>
      </c>
      <c r="I182" s="1" t="s">
        <v>158</v>
      </c>
    </row>
    <row r="183" customFormat="false" ht="15" hidden="false" customHeight="false" outlineLevel="0" collapsed="false">
      <c r="A183" s="1" t="s">
        <v>348</v>
      </c>
      <c r="B183" s="1" t="s">
        <v>82</v>
      </c>
      <c r="C183" s="1" t="s">
        <v>160</v>
      </c>
      <c r="D183" s="1" t="s">
        <v>156</v>
      </c>
      <c r="E183" s="1" t="s">
        <v>180</v>
      </c>
      <c r="F183" s="1" t="n">
        <v>728569</v>
      </c>
      <c r="G183" s="1" t="n">
        <v>754216</v>
      </c>
      <c r="H183" s="1" t="n">
        <v>25647</v>
      </c>
      <c r="I183" s="1" t="s">
        <v>158</v>
      </c>
    </row>
    <row r="184" customFormat="false" ht="15" hidden="false" customHeight="false" outlineLevel="0" collapsed="false">
      <c r="A184" s="1" t="s">
        <v>349</v>
      </c>
      <c r="B184" s="1" t="s">
        <v>82</v>
      </c>
      <c r="C184" s="1" t="s">
        <v>162</v>
      </c>
      <c r="D184" s="1" t="s">
        <v>156</v>
      </c>
      <c r="E184" s="1" t="s">
        <v>172</v>
      </c>
      <c r="F184" s="1" t="n">
        <v>276264</v>
      </c>
      <c r="G184" s="1" t="n">
        <v>241850</v>
      </c>
      <c r="H184" s="1" t="n">
        <v>-34414</v>
      </c>
      <c r="I184" s="1" t="s">
        <v>158</v>
      </c>
    </row>
    <row r="185" customFormat="false" ht="15" hidden="false" customHeight="false" outlineLevel="0" collapsed="false">
      <c r="A185" s="1" t="s">
        <v>350</v>
      </c>
      <c r="B185" s="1" t="s">
        <v>82</v>
      </c>
      <c r="C185" s="1" t="s">
        <v>164</v>
      </c>
      <c r="D185" s="1" t="s">
        <v>156</v>
      </c>
      <c r="E185" s="1" t="s">
        <v>157</v>
      </c>
      <c r="F185" s="1" t="n">
        <v>252720</v>
      </c>
      <c r="G185" s="1" t="n">
        <v>212219</v>
      </c>
      <c r="H185" s="1" t="n">
        <v>-40501</v>
      </c>
      <c r="I185" s="1" t="s">
        <v>158</v>
      </c>
    </row>
    <row r="186" customFormat="false" ht="15" hidden="false" customHeight="false" outlineLevel="0" collapsed="false">
      <c r="A186" s="1" t="s">
        <v>351</v>
      </c>
      <c r="B186" s="1" t="s">
        <v>82</v>
      </c>
      <c r="C186" s="1" t="s">
        <v>167</v>
      </c>
      <c r="D186" s="1" t="s">
        <v>168</v>
      </c>
      <c r="E186" s="1" t="s">
        <v>157</v>
      </c>
      <c r="F186" s="1" t="n">
        <v>410597</v>
      </c>
      <c r="G186" s="1" t="n">
        <v>462259</v>
      </c>
      <c r="H186" s="1" t="n">
        <v>51662</v>
      </c>
      <c r="I186" s="1" t="s">
        <v>158</v>
      </c>
    </row>
    <row r="187" customFormat="false" ht="15" hidden="false" customHeight="false" outlineLevel="0" collapsed="false">
      <c r="A187" s="1" t="s">
        <v>352</v>
      </c>
      <c r="B187" s="1" t="s">
        <v>82</v>
      </c>
      <c r="C187" s="1" t="s">
        <v>170</v>
      </c>
      <c r="D187" s="1" t="s">
        <v>168</v>
      </c>
      <c r="E187" s="1" t="s">
        <v>157</v>
      </c>
      <c r="F187" s="1" t="n">
        <v>192385</v>
      </c>
      <c r="G187" s="1" t="n">
        <v>213298</v>
      </c>
      <c r="H187" s="1" t="n">
        <v>20913</v>
      </c>
      <c r="I187" s="1" t="s">
        <v>158</v>
      </c>
    </row>
    <row r="188" customFormat="false" ht="15" hidden="false" customHeight="false" outlineLevel="0" collapsed="false">
      <c r="A188" s="1" t="s">
        <v>353</v>
      </c>
      <c r="B188" s="1" t="s">
        <v>83</v>
      </c>
      <c r="C188" s="1" t="s">
        <v>155</v>
      </c>
      <c r="D188" s="1" t="s">
        <v>156</v>
      </c>
      <c r="E188" s="1" t="s">
        <v>165</v>
      </c>
      <c r="F188" s="1" t="n">
        <v>1128597</v>
      </c>
      <c r="G188" s="1" t="n">
        <v>1157707</v>
      </c>
      <c r="H188" s="1" t="n">
        <v>29109</v>
      </c>
      <c r="I188" s="1" t="s">
        <v>158</v>
      </c>
    </row>
    <row r="189" customFormat="false" ht="15" hidden="false" customHeight="false" outlineLevel="0" collapsed="false">
      <c r="A189" s="1" t="s">
        <v>354</v>
      </c>
      <c r="B189" s="1" t="s">
        <v>83</v>
      </c>
      <c r="C189" s="1" t="s">
        <v>160</v>
      </c>
      <c r="D189" s="1" t="s">
        <v>156</v>
      </c>
      <c r="E189" s="1" t="s">
        <v>157</v>
      </c>
      <c r="F189" s="1" t="n">
        <v>621906</v>
      </c>
      <c r="G189" s="1" t="n">
        <v>691238</v>
      </c>
      <c r="H189" s="1" t="n">
        <v>69332</v>
      </c>
      <c r="I189" s="1" t="s">
        <v>158</v>
      </c>
    </row>
    <row r="190" customFormat="false" ht="15" hidden="false" customHeight="false" outlineLevel="0" collapsed="false">
      <c r="A190" s="1" t="s">
        <v>355</v>
      </c>
      <c r="B190" s="1" t="s">
        <v>83</v>
      </c>
      <c r="C190" s="1" t="s">
        <v>162</v>
      </c>
      <c r="D190" s="1" t="s">
        <v>156</v>
      </c>
      <c r="E190" s="1" t="s">
        <v>180</v>
      </c>
      <c r="F190" s="1" t="n">
        <v>248918</v>
      </c>
      <c r="G190" s="1" t="n">
        <v>239821</v>
      </c>
      <c r="H190" s="1" t="n">
        <v>-9097</v>
      </c>
      <c r="I190" s="1" t="s">
        <v>158</v>
      </c>
    </row>
    <row r="191" customFormat="false" ht="15" hidden="false" customHeight="false" outlineLevel="0" collapsed="false">
      <c r="A191" s="1" t="s">
        <v>356</v>
      </c>
      <c r="B191" s="1" t="s">
        <v>83</v>
      </c>
      <c r="C191" s="1" t="s">
        <v>164</v>
      </c>
      <c r="D191" s="1" t="s">
        <v>156</v>
      </c>
      <c r="E191" s="1" t="s">
        <v>172</v>
      </c>
      <c r="F191" s="1" t="n">
        <v>183798</v>
      </c>
      <c r="G191" s="1" t="n">
        <v>203211</v>
      </c>
      <c r="H191" s="1" t="n">
        <v>19413</v>
      </c>
      <c r="I191" s="1" t="s">
        <v>158</v>
      </c>
    </row>
    <row r="192" customFormat="false" ht="15" hidden="false" customHeight="false" outlineLevel="0" collapsed="false">
      <c r="A192" s="1" t="s">
        <v>357</v>
      </c>
      <c r="B192" s="1" t="s">
        <v>83</v>
      </c>
      <c r="C192" s="1" t="s">
        <v>167</v>
      </c>
      <c r="D192" s="1" t="s">
        <v>168</v>
      </c>
      <c r="E192" s="1" t="s">
        <v>165</v>
      </c>
      <c r="F192" s="1" t="n">
        <v>324048</v>
      </c>
      <c r="G192" s="1" t="n">
        <v>329968</v>
      </c>
      <c r="H192" s="1" t="n">
        <v>5920</v>
      </c>
      <c r="I192" s="1" t="s">
        <v>158</v>
      </c>
    </row>
    <row r="193" customFormat="false" ht="15" hidden="false" customHeight="false" outlineLevel="0" collapsed="false">
      <c r="A193" s="1" t="s">
        <v>358</v>
      </c>
      <c r="B193" s="1" t="s">
        <v>83</v>
      </c>
      <c r="C193" s="1" t="s">
        <v>170</v>
      </c>
      <c r="D193" s="1" t="s">
        <v>168</v>
      </c>
      <c r="E193" s="1" t="s">
        <v>157</v>
      </c>
      <c r="F193" s="1" t="n">
        <v>125669</v>
      </c>
      <c r="G193" s="1" t="n">
        <v>113345</v>
      </c>
      <c r="H193" s="1" t="n">
        <v>-12324</v>
      </c>
      <c r="I193" s="1" t="s">
        <v>158</v>
      </c>
    </row>
    <row r="194" customFormat="false" ht="15" hidden="false" customHeight="false" outlineLevel="0" collapsed="false">
      <c r="A194" s="1" t="s">
        <v>359</v>
      </c>
      <c r="B194" s="1" t="s">
        <v>84</v>
      </c>
      <c r="C194" s="1" t="s">
        <v>155</v>
      </c>
      <c r="D194" s="1" t="s">
        <v>156</v>
      </c>
      <c r="E194" s="1" t="s">
        <v>157</v>
      </c>
      <c r="F194" s="1" t="n">
        <v>953075</v>
      </c>
      <c r="G194" s="1" t="n">
        <v>810726</v>
      </c>
      <c r="H194" s="1" t="n">
        <v>-142349</v>
      </c>
      <c r="I194" s="1" t="s">
        <v>158</v>
      </c>
    </row>
    <row r="195" customFormat="false" ht="15" hidden="false" customHeight="false" outlineLevel="0" collapsed="false">
      <c r="A195" s="1" t="s">
        <v>360</v>
      </c>
      <c r="B195" s="1" t="s">
        <v>84</v>
      </c>
      <c r="C195" s="1" t="s">
        <v>160</v>
      </c>
      <c r="D195" s="1" t="s">
        <v>156</v>
      </c>
      <c r="E195" s="1" t="s">
        <v>165</v>
      </c>
      <c r="F195" s="1" t="n">
        <v>583199</v>
      </c>
      <c r="G195" s="1" t="n">
        <v>577006</v>
      </c>
      <c r="H195" s="1" t="n">
        <v>-6193</v>
      </c>
      <c r="I195" s="1" t="s">
        <v>158</v>
      </c>
    </row>
    <row r="196" customFormat="false" ht="15" hidden="false" customHeight="false" outlineLevel="0" collapsed="false">
      <c r="A196" s="1" t="s">
        <v>361</v>
      </c>
      <c r="B196" s="1" t="s">
        <v>84</v>
      </c>
      <c r="C196" s="1" t="s">
        <v>162</v>
      </c>
      <c r="D196" s="1" t="s">
        <v>156</v>
      </c>
      <c r="E196" s="1" t="s">
        <v>165</v>
      </c>
      <c r="F196" s="1" t="n">
        <v>241286</v>
      </c>
      <c r="G196" s="1" t="n">
        <v>234440</v>
      </c>
      <c r="H196" s="1" t="n">
        <v>-6847</v>
      </c>
      <c r="I196" s="1" t="s">
        <v>158</v>
      </c>
    </row>
    <row r="197" customFormat="false" ht="15" hidden="false" customHeight="false" outlineLevel="0" collapsed="false">
      <c r="A197" s="1" t="s">
        <v>362</v>
      </c>
      <c r="B197" s="1" t="s">
        <v>84</v>
      </c>
      <c r="C197" s="1" t="s">
        <v>164</v>
      </c>
      <c r="D197" s="1" t="s">
        <v>156</v>
      </c>
      <c r="E197" s="1" t="s">
        <v>172</v>
      </c>
      <c r="F197" s="1" t="n">
        <v>221569</v>
      </c>
      <c r="G197" s="1" t="n">
        <v>224331</v>
      </c>
      <c r="H197" s="1" t="n">
        <v>2762</v>
      </c>
      <c r="I197" s="1" t="s">
        <v>158</v>
      </c>
    </row>
    <row r="198" customFormat="false" ht="15" hidden="false" customHeight="false" outlineLevel="0" collapsed="false">
      <c r="A198" s="1" t="s">
        <v>363</v>
      </c>
      <c r="B198" s="1" t="s">
        <v>84</v>
      </c>
      <c r="C198" s="1" t="s">
        <v>167</v>
      </c>
      <c r="D198" s="1" t="s">
        <v>168</v>
      </c>
      <c r="E198" s="1" t="s">
        <v>180</v>
      </c>
      <c r="F198" s="1" t="n">
        <v>421549</v>
      </c>
      <c r="G198" s="1" t="n">
        <v>401823</v>
      </c>
      <c r="H198" s="1" t="n">
        <v>-19726</v>
      </c>
      <c r="I198" s="1" t="s">
        <v>158</v>
      </c>
    </row>
    <row r="199" customFormat="false" ht="15" hidden="false" customHeight="false" outlineLevel="0" collapsed="false">
      <c r="A199" s="1" t="s">
        <v>364</v>
      </c>
      <c r="B199" s="1" t="s">
        <v>84</v>
      </c>
      <c r="C199" s="1" t="s">
        <v>170</v>
      </c>
      <c r="D199" s="1" t="s">
        <v>168</v>
      </c>
      <c r="E199" s="1" t="s">
        <v>180</v>
      </c>
      <c r="F199" s="1" t="n">
        <v>178606</v>
      </c>
      <c r="G199" s="1" t="n">
        <v>203396</v>
      </c>
      <c r="H199" s="1" t="n">
        <v>24790</v>
      </c>
      <c r="I199" s="1" t="s">
        <v>158</v>
      </c>
    </row>
    <row r="200" customFormat="false" ht="15" hidden="false" customHeight="false" outlineLevel="0" collapsed="false">
      <c r="A200" s="1" t="s">
        <v>365</v>
      </c>
      <c r="B200" s="1" t="s">
        <v>85</v>
      </c>
      <c r="C200" s="1" t="s">
        <v>155</v>
      </c>
      <c r="D200" s="1" t="s">
        <v>156</v>
      </c>
      <c r="E200" s="1" t="s">
        <v>172</v>
      </c>
      <c r="F200" s="1" t="n">
        <v>1152207</v>
      </c>
      <c r="G200" s="1" t="n">
        <v>1010074</v>
      </c>
      <c r="H200" s="1" t="n">
        <v>-142133</v>
      </c>
      <c r="I200" s="1" t="s">
        <v>158</v>
      </c>
    </row>
    <row r="201" customFormat="false" ht="15" hidden="false" customHeight="false" outlineLevel="0" collapsed="false">
      <c r="A201" s="1" t="s">
        <v>366</v>
      </c>
      <c r="B201" s="1" t="s">
        <v>85</v>
      </c>
      <c r="C201" s="1" t="s">
        <v>160</v>
      </c>
      <c r="D201" s="1" t="s">
        <v>156</v>
      </c>
      <c r="E201" s="1" t="s">
        <v>157</v>
      </c>
      <c r="F201" s="1" t="n">
        <v>479044</v>
      </c>
      <c r="G201" s="1" t="n">
        <v>532157</v>
      </c>
      <c r="H201" s="1" t="n">
        <v>53113</v>
      </c>
      <c r="I201" s="1" t="s">
        <v>158</v>
      </c>
    </row>
    <row r="202" customFormat="false" ht="15" hidden="false" customHeight="false" outlineLevel="0" collapsed="false">
      <c r="A202" s="1" t="s">
        <v>367</v>
      </c>
      <c r="B202" s="1" t="s">
        <v>85</v>
      </c>
      <c r="C202" s="1" t="s">
        <v>162</v>
      </c>
      <c r="D202" s="1" t="s">
        <v>156</v>
      </c>
      <c r="E202" s="1" t="s">
        <v>180</v>
      </c>
      <c r="F202" s="1" t="n">
        <v>222588</v>
      </c>
      <c r="G202" s="1" t="n">
        <v>229148</v>
      </c>
      <c r="H202" s="1" t="n">
        <v>6560</v>
      </c>
      <c r="I202" s="1" t="s">
        <v>158</v>
      </c>
    </row>
    <row r="203" customFormat="false" ht="15" hidden="false" customHeight="false" outlineLevel="0" collapsed="false">
      <c r="A203" s="1" t="s">
        <v>368</v>
      </c>
      <c r="B203" s="1" t="s">
        <v>85</v>
      </c>
      <c r="C203" s="1" t="s">
        <v>164</v>
      </c>
      <c r="D203" s="1" t="s">
        <v>156</v>
      </c>
      <c r="E203" s="1" t="s">
        <v>180</v>
      </c>
      <c r="F203" s="1" t="n">
        <v>199023</v>
      </c>
      <c r="G203" s="1" t="n">
        <v>211598</v>
      </c>
      <c r="H203" s="1" t="n">
        <v>12575</v>
      </c>
      <c r="I203" s="1" t="s">
        <v>158</v>
      </c>
    </row>
    <row r="204" customFormat="false" ht="15" hidden="false" customHeight="false" outlineLevel="0" collapsed="false">
      <c r="A204" s="1" t="s">
        <v>369</v>
      </c>
      <c r="B204" s="1" t="s">
        <v>85</v>
      </c>
      <c r="C204" s="1" t="s">
        <v>167</v>
      </c>
      <c r="D204" s="1" t="s">
        <v>168</v>
      </c>
      <c r="E204" s="1" t="s">
        <v>172</v>
      </c>
      <c r="F204" s="1" t="n">
        <v>288376</v>
      </c>
      <c r="G204" s="1" t="n">
        <v>245749</v>
      </c>
      <c r="H204" s="1" t="n">
        <v>-42626</v>
      </c>
      <c r="I204" s="1" t="s">
        <v>158</v>
      </c>
    </row>
    <row r="205" customFormat="false" ht="15" hidden="false" customHeight="false" outlineLevel="0" collapsed="false">
      <c r="A205" s="1" t="s">
        <v>370</v>
      </c>
      <c r="B205" s="1" t="s">
        <v>85</v>
      </c>
      <c r="C205" s="1" t="s">
        <v>170</v>
      </c>
      <c r="D205" s="1" t="s">
        <v>168</v>
      </c>
      <c r="E205" s="1" t="s">
        <v>157</v>
      </c>
      <c r="F205" s="1" t="n">
        <v>128823</v>
      </c>
      <c r="G205" s="1" t="n">
        <v>123451</v>
      </c>
      <c r="H205" s="1" t="n">
        <v>-5373</v>
      </c>
      <c r="I205" s="1" t="s">
        <v>158</v>
      </c>
    </row>
    <row r="206" customFormat="false" ht="15" hidden="false" customHeight="false" outlineLevel="0" collapsed="false">
      <c r="A206" s="1" t="s">
        <v>371</v>
      </c>
      <c r="B206" s="1" t="s">
        <v>86</v>
      </c>
      <c r="C206" s="1" t="s">
        <v>155</v>
      </c>
      <c r="D206" s="1" t="s">
        <v>156</v>
      </c>
      <c r="E206" s="1" t="s">
        <v>157</v>
      </c>
      <c r="F206" s="1" t="n">
        <v>997692</v>
      </c>
      <c r="G206" s="1" t="n">
        <v>1182893</v>
      </c>
      <c r="H206" s="1" t="n">
        <v>185202</v>
      </c>
      <c r="I206" s="1" t="s">
        <v>158</v>
      </c>
    </row>
    <row r="207" customFormat="false" ht="15" hidden="false" customHeight="false" outlineLevel="0" collapsed="false">
      <c r="A207" s="1" t="s">
        <v>372</v>
      </c>
      <c r="B207" s="1" t="s">
        <v>86</v>
      </c>
      <c r="C207" s="1" t="s">
        <v>160</v>
      </c>
      <c r="D207" s="1" t="s">
        <v>156</v>
      </c>
      <c r="E207" s="1" t="s">
        <v>165</v>
      </c>
      <c r="F207" s="1" t="n">
        <v>638679</v>
      </c>
      <c r="G207" s="1" t="n">
        <v>578628</v>
      </c>
      <c r="H207" s="1" t="n">
        <v>-60050</v>
      </c>
      <c r="I207" s="1" t="s">
        <v>158</v>
      </c>
    </row>
    <row r="208" customFormat="false" ht="15" hidden="false" customHeight="false" outlineLevel="0" collapsed="false">
      <c r="A208" s="1" t="s">
        <v>373</v>
      </c>
      <c r="B208" s="1" t="s">
        <v>86</v>
      </c>
      <c r="C208" s="1" t="s">
        <v>162</v>
      </c>
      <c r="D208" s="1" t="s">
        <v>156</v>
      </c>
      <c r="E208" s="1" t="s">
        <v>172</v>
      </c>
      <c r="F208" s="1" t="n">
        <v>266068</v>
      </c>
      <c r="G208" s="1" t="n">
        <v>276729</v>
      </c>
      <c r="H208" s="1" t="n">
        <v>10662</v>
      </c>
      <c r="I208" s="1" t="s">
        <v>158</v>
      </c>
    </row>
    <row r="209" customFormat="false" ht="15" hidden="false" customHeight="false" outlineLevel="0" collapsed="false">
      <c r="A209" s="1" t="s">
        <v>374</v>
      </c>
      <c r="B209" s="1" t="s">
        <v>86</v>
      </c>
      <c r="C209" s="1" t="s">
        <v>164</v>
      </c>
      <c r="D209" s="1" t="s">
        <v>156</v>
      </c>
      <c r="E209" s="1" t="s">
        <v>165</v>
      </c>
      <c r="F209" s="1" t="n">
        <v>194025</v>
      </c>
      <c r="G209" s="1" t="n">
        <v>215380</v>
      </c>
      <c r="H209" s="1" t="n">
        <v>21355</v>
      </c>
      <c r="I209" s="1" t="s">
        <v>158</v>
      </c>
    </row>
    <row r="210" customFormat="false" ht="15" hidden="false" customHeight="false" outlineLevel="0" collapsed="false">
      <c r="A210" s="1" t="s">
        <v>375</v>
      </c>
      <c r="B210" s="1" t="s">
        <v>86</v>
      </c>
      <c r="C210" s="1" t="s">
        <v>167</v>
      </c>
      <c r="D210" s="1" t="s">
        <v>168</v>
      </c>
      <c r="E210" s="1" t="s">
        <v>180</v>
      </c>
      <c r="F210" s="1" t="n">
        <v>338487</v>
      </c>
      <c r="G210" s="1" t="n">
        <v>301564</v>
      </c>
      <c r="H210" s="1" t="n">
        <v>-36924</v>
      </c>
      <c r="I210" s="1" t="s">
        <v>158</v>
      </c>
    </row>
    <row r="211" customFormat="false" ht="15" hidden="false" customHeight="false" outlineLevel="0" collapsed="false">
      <c r="A211" s="1" t="s">
        <v>376</v>
      </c>
      <c r="B211" s="1" t="s">
        <v>86</v>
      </c>
      <c r="C211" s="1" t="s">
        <v>170</v>
      </c>
      <c r="D211" s="1" t="s">
        <v>168</v>
      </c>
      <c r="E211" s="1" t="s">
        <v>165</v>
      </c>
      <c r="F211" s="1" t="n">
        <v>158929</v>
      </c>
      <c r="G211" s="1" t="n">
        <v>158251</v>
      </c>
      <c r="H211" s="1" t="n">
        <v>-678</v>
      </c>
      <c r="I211" s="1" t="s">
        <v>158</v>
      </c>
    </row>
    <row r="212" customFormat="false" ht="15" hidden="false" customHeight="false" outlineLevel="0" collapsed="false">
      <c r="A212" s="1" t="s">
        <v>377</v>
      </c>
      <c r="B212" s="1" t="s">
        <v>87</v>
      </c>
      <c r="C212" s="1" t="s">
        <v>155</v>
      </c>
      <c r="D212" s="1" t="s">
        <v>156</v>
      </c>
      <c r="E212" s="1" t="s">
        <v>172</v>
      </c>
      <c r="F212" s="1" t="n">
        <v>1079668</v>
      </c>
      <c r="G212" s="1" t="n">
        <v>962208</v>
      </c>
      <c r="H212" s="1" t="n">
        <v>-117460</v>
      </c>
      <c r="I212" s="1" t="s">
        <v>158</v>
      </c>
    </row>
    <row r="213" customFormat="false" ht="15" hidden="false" customHeight="false" outlineLevel="0" collapsed="false">
      <c r="A213" s="1" t="s">
        <v>378</v>
      </c>
      <c r="B213" s="1" t="s">
        <v>87</v>
      </c>
      <c r="C213" s="1" t="s">
        <v>160</v>
      </c>
      <c r="D213" s="1" t="s">
        <v>156</v>
      </c>
      <c r="E213" s="1" t="s">
        <v>180</v>
      </c>
      <c r="F213" s="1" t="n">
        <v>733482</v>
      </c>
      <c r="G213" s="1" t="n">
        <v>731884</v>
      </c>
      <c r="H213" s="1" t="n">
        <v>-1598</v>
      </c>
      <c r="I213" s="1" t="s">
        <v>158</v>
      </c>
    </row>
    <row r="214" customFormat="false" ht="15" hidden="false" customHeight="false" outlineLevel="0" collapsed="false">
      <c r="A214" s="1" t="s">
        <v>379</v>
      </c>
      <c r="B214" s="1" t="s">
        <v>87</v>
      </c>
      <c r="C214" s="1" t="s">
        <v>162</v>
      </c>
      <c r="D214" s="1" t="s">
        <v>156</v>
      </c>
      <c r="E214" s="1" t="s">
        <v>165</v>
      </c>
      <c r="F214" s="1" t="n">
        <v>272167</v>
      </c>
      <c r="G214" s="1" t="n">
        <v>237891</v>
      </c>
      <c r="H214" s="1" t="n">
        <v>-34276</v>
      </c>
      <c r="I214" s="1" t="s">
        <v>158</v>
      </c>
    </row>
    <row r="215" customFormat="false" ht="15" hidden="false" customHeight="false" outlineLevel="0" collapsed="false">
      <c r="A215" s="1" t="s">
        <v>380</v>
      </c>
      <c r="B215" s="1" t="s">
        <v>87</v>
      </c>
      <c r="C215" s="1" t="s">
        <v>164</v>
      </c>
      <c r="D215" s="1" t="s">
        <v>156</v>
      </c>
      <c r="E215" s="1" t="s">
        <v>172</v>
      </c>
      <c r="F215" s="1" t="n">
        <v>235883</v>
      </c>
      <c r="G215" s="1" t="n">
        <v>207357</v>
      </c>
      <c r="H215" s="1" t="n">
        <v>-28526</v>
      </c>
      <c r="I215" s="1" t="s">
        <v>158</v>
      </c>
    </row>
    <row r="216" customFormat="false" ht="15" hidden="false" customHeight="false" outlineLevel="0" collapsed="false">
      <c r="A216" s="1" t="s">
        <v>381</v>
      </c>
      <c r="B216" s="1" t="s">
        <v>87</v>
      </c>
      <c r="C216" s="1" t="s">
        <v>167</v>
      </c>
      <c r="D216" s="1" t="s">
        <v>168</v>
      </c>
      <c r="E216" s="1" t="s">
        <v>157</v>
      </c>
      <c r="F216" s="1" t="n">
        <v>453423</v>
      </c>
      <c r="G216" s="1" t="n">
        <v>406834</v>
      </c>
      <c r="H216" s="1" t="n">
        <v>-46588</v>
      </c>
      <c r="I216" s="1" t="s">
        <v>158</v>
      </c>
    </row>
    <row r="217" customFormat="false" ht="15" hidden="false" customHeight="false" outlineLevel="0" collapsed="false">
      <c r="A217" s="1" t="s">
        <v>382</v>
      </c>
      <c r="B217" s="1" t="s">
        <v>87</v>
      </c>
      <c r="C217" s="1" t="s">
        <v>170</v>
      </c>
      <c r="D217" s="1" t="s">
        <v>168</v>
      </c>
      <c r="E217" s="1" t="s">
        <v>180</v>
      </c>
      <c r="F217" s="1" t="n">
        <v>190130</v>
      </c>
      <c r="G217" s="1" t="n">
        <v>184569</v>
      </c>
      <c r="H217" s="1" t="n">
        <v>-5560</v>
      </c>
      <c r="I217" s="1" t="s">
        <v>158</v>
      </c>
    </row>
    <row r="218" customFormat="false" ht="15" hidden="false" customHeight="false" outlineLevel="0" collapsed="false">
      <c r="A218" s="1" t="s">
        <v>383</v>
      </c>
      <c r="B218" s="1" t="s">
        <v>88</v>
      </c>
      <c r="C218" s="1" t="s">
        <v>155</v>
      </c>
      <c r="D218" s="1" t="s">
        <v>156</v>
      </c>
      <c r="E218" s="1" t="s">
        <v>172</v>
      </c>
      <c r="F218" s="1" t="n">
        <v>1176599</v>
      </c>
      <c r="G218" s="1" t="n">
        <v>1094851</v>
      </c>
      <c r="H218" s="1" t="n">
        <v>-81747</v>
      </c>
      <c r="I218" s="1" t="s">
        <v>158</v>
      </c>
    </row>
    <row r="219" customFormat="false" ht="15" hidden="false" customHeight="false" outlineLevel="0" collapsed="false">
      <c r="A219" s="1" t="s">
        <v>384</v>
      </c>
      <c r="B219" s="1" t="s">
        <v>88</v>
      </c>
      <c r="C219" s="1" t="s">
        <v>160</v>
      </c>
      <c r="D219" s="1" t="s">
        <v>156</v>
      </c>
      <c r="E219" s="1" t="s">
        <v>157</v>
      </c>
      <c r="F219" s="1" t="n">
        <v>657598</v>
      </c>
      <c r="G219" s="1" t="n">
        <v>606506</v>
      </c>
      <c r="H219" s="1" t="n">
        <v>-51092</v>
      </c>
      <c r="I219" s="1" t="s">
        <v>158</v>
      </c>
    </row>
    <row r="220" customFormat="false" ht="15" hidden="false" customHeight="false" outlineLevel="0" collapsed="false">
      <c r="A220" s="1" t="s">
        <v>385</v>
      </c>
      <c r="B220" s="1" t="s">
        <v>88</v>
      </c>
      <c r="C220" s="1" t="s">
        <v>162</v>
      </c>
      <c r="D220" s="1" t="s">
        <v>156</v>
      </c>
      <c r="E220" s="1" t="s">
        <v>165</v>
      </c>
      <c r="F220" s="1" t="n">
        <v>254076</v>
      </c>
      <c r="G220" s="1" t="n">
        <v>249709</v>
      </c>
      <c r="H220" s="1" t="n">
        <v>-4367</v>
      </c>
      <c r="I220" s="1" t="s">
        <v>158</v>
      </c>
    </row>
    <row r="221" customFormat="false" ht="15" hidden="false" customHeight="false" outlineLevel="0" collapsed="false">
      <c r="A221" s="1" t="s">
        <v>386</v>
      </c>
      <c r="B221" s="1" t="s">
        <v>88</v>
      </c>
      <c r="C221" s="1" t="s">
        <v>164</v>
      </c>
      <c r="D221" s="1" t="s">
        <v>156</v>
      </c>
      <c r="E221" s="1" t="s">
        <v>172</v>
      </c>
      <c r="F221" s="1" t="n">
        <v>210802</v>
      </c>
      <c r="G221" s="1" t="n">
        <v>197181</v>
      </c>
      <c r="H221" s="1" t="n">
        <v>-13622</v>
      </c>
      <c r="I221" s="1" t="s">
        <v>158</v>
      </c>
    </row>
    <row r="222" customFormat="false" ht="15" hidden="false" customHeight="false" outlineLevel="0" collapsed="false">
      <c r="A222" s="1" t="s">
        <v>387</v>
      </c>
      <c r="B222" s="1" t="s">
        <v>88</v>
      </c>
      <c r="C222" s="1" t="s">
        <v>167</v>
      </c>
      <c r="D222" s="1" t="s">
        <v>168</v>
      </c>
      <c r="E222" s="1" t="s">
        <v>172</v>
      </c>
      <c r="F222" s="1" t="n">
        <v>377189</v>
      </c>
      <c r="G222" s="1" t="n">
        <v>412671</v>
      </c>
      <c r="H222" s="1" t="n">
        <v>35482</v>
      </c>
      <c r="I222" s="1" t="s">
        <v>158</v>
      </c>
    </row>
    <row r="223" customFormat="false" ht="15" hidden="false" customHeight="false" outlineLevel="0" collapsed="false">
      <c r="A223" s="1" t="s">
        <v>388</v>
      </c>
      <c r="B223" s="1" t="s">
        <v>88</v>
      </c>
      <c r="C223" s="1" t="s">
        <v>170</v>
      </c>
      <c r="D223" s="1" t="s">
        <v>168</v>
      </c>
      <c r="E223" s="1" t="s">
        <v>157</v>
      </c>
      <c r="F223" s="1" t="n">
        <v>156060</v>
      </c>
      <c r="G223" s="1" t="n">
        <v>164503</v>
      </c>
      <c r="H223" s="1" t="n">
        <v>8443</v>
      </c>
      <c r="I223" s="1" t="s">
        <v>158</v>
      </c>
    </row>
    <row r="224" customFormat="false" ht="15" hidden="false" customHeight="false" outlineLevel="0" collapsed="false">
      <c r="A224" s="1" t="s">
        <v>389</v>
      </c>
      <c r="B224" s="1" t="s">
        <v>89</v>
      </c>
      <c r="C224" s="1" t="s">
        <v>155</v>
      </c>
      <c r="D224" s="1" t="s">
        <v>156</v>
      </c>
      <c r="E224" s="1" t="s">
        <v>157</v>
      </c>
      <c r="F224" s="1" t="n">
        <v>1059491</v>
      </c>
      <c r="G224" s="1" t="n">
        <v>1210048</v>
      </c>
      <c r="H224" s="1" t="n">
        <v>150557</v>
      </c>
      <c r="I224" s="1" t="s">
        <v>158</v>
      </c>
    </row>
    <row r="225" customFormat="false" ht="15" hidden="false" customHeight="false" outlineLevel="0" collapsed="false">
      <c r="A225" s="1" t="s">
        <v>390</v>
      </c>
      <c r="B225" s="1" t="s">
        <v>89</v>
      </c>
      <c r="C225" s="1" t="s">
        <v>160</v>
      </c>
      <c r="D225" s="1" t="s">
        <v>156</v>
      </c>
      <c r="E225" s="1" t="s">
        <v>165</v>
      </c>
      <c r="F225" s="1" t="n">
        <v>588996</v>
      </c>
      <c r="G225" s="1" t="n">
        <v>559557</v>
      </c>
      <c r="H225" s="1" t="n">
        <v>-29439</v>
      </c>
      <c r="I225" s="1" t="s">
        <v>158</v>
      </c>
    </row>
    <row r="226" customFormat="false" ht="15" hidden="false" customHeight="false" outlineLevel="0" collapsed="false">
      <c r="A226" s="1" t="s">
        <v>391</v>
      </c>
      <c r="B226" s="1" t="s">
        <v>89</v>
      </c>
      <c r="C226" s="1" t="s">
        <v>162</v>
      </c>
      <c r="D226" s="1" t="s">
        <v>156</v>
      </c>
      <c r="E226" s="1" t="s">
        <v>180</v>
      </c>
      <c r="F226" s="1" t="n">
        <v>261545</v>
      </c>
      <c r="G226" s="1" t="n">
        <v>237049</v>
      </c>
      <c r="H226" s="1" t="n">
        <v>-24497</v>
      </c>
      <c r="I226" s="1" t="s">
        <v>158</v>
      </c>
    </row>
    <row r="227" customFormat="false" ht="15" hidden="false" customHeight="false" outlineLevel="0" collapsed="false">
      <c r="A227" s="1" t="s">
        <v>392</v>
      </c>
      <c r="B227" s="1" t="s">
        <v>89</v>
      </c>
      <c r="C227" s="1" t="s">
        <v>164</v>
      </c>
      <c r="D227" s="1" t="s">
        <v>156</v>
      </c>
      <c r="E227" s="1" t="s">
        <v>180</v>
      </c>
      <c r="F227" s="1" t="n">
        <v>237275</v>
      </c>
      <c r="G227" s="1" t="n">
        <v>239015</v>
      </c>
      <c r="H227" s="1" t="n">
        <v>1740</v>
      </c>
      <c r="I227" s="1" t="s">
        <v>158</v>
      </c>
    </row>
    <row r="228" customFormat="false" ht="15" hidden="false" customHeight="false" outlineLevel="0" collapsed="false">
      <c r="A228" s="1" t="s">
        <v>393</v>
      </c>
      <c r="B228" s="1" t="s">
        <v>89</v>
      </c>
      <c r="C228" s="1" t="s">
        <v>167</v>
      </c>
      <c r="D228" s="1" t="s">
        <v>168</v>
      </c>
      <c r="E228" s="1" t="s">
        <v>157</v>
      </c>
      <c r="F228" s="1" t="n">
        <v>316198</v>
      </c>
      <c r="G228" s="1" t="n">
        <v>270341</v>
      </c>
      <c r="H228" s="1" t="n">
        <v>-45857</v>
      </c>
      <c r="I228" s="1" t="s">
        <v>158</v>
      </c>
    </row>
    <row r="229" customFormat="false" ht="15" hidden="false" customHeight="false" outlineLevel="0" collapsed="false">
      <c r="A229" s="1" t="s">
        <v>394</v>
      </c>
      <c r="B229" s="1" t="s">
        <v>89</v>
      </c>
      <c r="C229" s="1" t="s">
        <v>170</v>
      </c>
      <c r="D229" s="1" t="s">
        <v>168</v>
      </c>
      <c r="E229" s="1" t="s">
        <v>157</v>
      </c>
      <c r="F229" s="1" t="n">
        <v>183226</v>
      </c>
      <c r="G229" s="1" t="n">
        <v>216404</v>
      </c>
      <c r="H229" s="1" t="n">
        <v>33178</v>
      </c>
      <c r="I229" s="1" t="s">
        <v>158</v>
      </c>
    </row>
    <row r="230" customFormat="false" ht="15" hidden="false" customHeight="false" outlineLevel="0" collapsed="false">
      <c r="A230" s="1" t="s">
        <v>395</v>
      </c>
      <c r="B230" s="1" t="s">
        <v>90</v>
      </c>
      <c r="C230" s="1" t="s">
        <v>155</v>
      </c>
      <c r="D230" s="1" t="s">
        <v>156</v>
      </c>
      <c r="E230" s="1" t="s">
        <v>157</v>
      </c>
      <c r="F230" s="1" t="n">
        <v>1228852</v>
      </c>
      <c r="G230" s="1" t="n">
        <v>1245164</v>
      </c>
      <c r="H230" s="1" t="n">
        <v>16312</v>
      </c>
      <c r="I230" s="1" t="s">
        <v>158</v>
      </c>
    </row>
    <row r="231" customFormat="false" ht="15" hidden="false" customHeight="false" outlineLevel="0" collapsed="false">
      <c r="A231" s="1" t="s">
        <v>396</v>
      </c>
      <c r="B231" s="1" t="s">
        <v>90</v>
      </c>
      <c r="C231" s="1" t="s">
        <v>160</v>
      </c>
      <c r="D231" s="1" t="s">
        <v>156</v>
      </c>
      <c r="E231" s="1" t="s">
        <v>157</v>
      </c>
      <c r="F231" s="1" t="n">
        <v>688016</v>
      </c>
      <c r="G231" s="1" t="n">
        <v>653397</v>
      </c>
      <c r="H231" s="1" t="n">
        <v>-34620</v>
      </c>
      <c r="I231" s="1" t="s">
        <v>158</v>
      </c>
    </row>
    <row r="232" customFormat="false" ht="15" hidden="false" customHeight="false" outlineLevel="0" collapsed="false">
      <c r="A232" s="1" t="s">
        <v>397</v>
      </c>
      <c r="B232" s="1" t="s">
        <v>90</v>
      </c>
      <c r="C232" s="1" t="s">
        <v>162</v>
      </c>
      <c r="D232" s="1" t="s">
        <v>156</v>
      </c>
      <c r="E232" s="1" t="s">
        <v>180</v>
      </c>
      <c r="F232" s="1" t="n">
        <v>305557</v>
      </c>
      <c r="G232" s="1" t="n">
        <v>303568</v>
      </c>
      <c r="H232" s="1" t="n">
        <v>-1989</v>
      </c>
      <c r="I232" s="1" t="s">
        <v>158</v>
      </c>
    </row>
    <row r="233" customFormat="false" ht="15" hidden="false" customHeight="false" outlineLevel="0" collapsed="false">
      <c r="A233" s="1" t="s">
        <v>398</v>
      </c>
      <c r="B233" s="1" t="s">
        <v>90</v>
      </c>
      <c r="C233" s="1" t="s">
        <v>164</v>
      </c>
      <c r="D233" s="1" t="s">
        <v>156</v>
      </c>
      <c r="E233" s="1" t="s">
        <v>157</v>
      </c>
      <c r="F233" s="1" t="n">
        <v>221100</v>
      </c>
      <c r="G233" s="1" t="n">
        <v>220446</v>
      </c>
      <c r="H233" s="1" t="n">
        <v>-654</v>
      </c>
      <c r="I233" s="1" t="s">
        <v>158</v>
      </c>
    </row>
    <row r="234" customFormat="false" ht="15" hidden="false" customHeight="false" outlineLevel="0" collapsed="false">
      <c r="A234" s="1" t="s">
        <v>399</v>
      </c>
      <c r="B234" s="1" t="s">
        <v>90</v>
      </c>
      <c r="C234" s="1" t="s">
        <v>167</v>
      </c>
      <c r="D234" s="1" t="s">
        <v>168</v>
      </c>
      <c r="E234" s="1" t="s">
        <v>165</v>
      </c>
      <c r="F234" s="1" t="n">
        <v>456085</v>
      </c>
      <c r="G234" s="1" t="n">
        <v>488237</v>
      </c>
      <c r="H234" s="1" t="n">
        <v>32153</v>
      </c>
      <c r="I234" s="1" t="s">
        <v>158</v>
      </c>
    </row>
    <row r="235" customFormat="false" ht="15" hidden="false" customHeight="false" outlineLevel="0" collapsed="false">
      <c r="A235" s="1" t="s">
        <v>400</v>
      </c>
      <c r="B235" s="1" t="s">
        <v>90</v>
      </c>
      <c r="C235" s="1" t="s">
        <v>170</v>
      </c>
      <c r="D235" s="1" t="s">
        <v>168</v>
      </c>
      <c r="E235" s="1" t="s">
        <v>180</v>
      </c>
      <c r="F235" s="1" t="n">
        <v>182987</v>
      </c>
      <c r="G235" s="1" t="n">
        <v>188973</v>
      </c>
      <c r="H235" s="1" t="n">
        <v>5986</v>
      </c>
      <c r="I235" s="1" t="s">
        <v>158</v>
      </c>
    </row>
    <row r="236" customFormat="false" ht="15" hidden="false" customHeight="false" outlineLevel="0" collapsed="false">
      <c r="A236" s="1" t="s">
        <v>401</v>
      </c>
      <c r="B236" s="1" t="s">
        <v>91</v>
      </c>
      <c r="C236" s="1" t="s">
        <v>155</v>
      </c>
      <c r="D236" s="1" t="s">
        <v>156</v>
      </c>
      <c r="E236" s="1" t="s">
        <v>172</v>
      </c>
      <c r="F236" s="1" t="n">
        <v>1502970</v>
      </c>
      <c r="G236" s="1" t="n">
        <v>1383463</v>
      </c>
      <c r="H236" s="1" t="n">
        <v>-119506</v>
      </c>
      <c r="I236" s="1" t="s">
        <v>158</v>
      </c>
    </row>
    <row r="237" customFormat="false" ht="15" hidden="false" customHeight="false" outlineLevel="0" collapsed="false">
      <c r="A237" s="1" t="s">
        <v>402</v>
      </c>
      <c r="B237" s="1" t="s">
        <v>91</v>
      </c>
      <c r="C237" s="1" t="s">
        <v>160</v>
      </c>
      <c r="D237" s="1" t="s">
        <v>156</v>
      </c>
      <c r="E237" s="1" t="s">
        <v>165</v>
      </c>
      <c r="F237" s="1" t="n">
        <v>886377</v>
      </c>
      <c r="G237" s="1" t="n">
        <v>1033390</v>
      </c>
      <c r="H237" s="1" t="n">
        <v>147013</v>
      </c>
      <c r="I237" s="1" t="s">
        <v>158</v>
      </c>
    </row>
    <row r="238" customFormat="false" ht="15" hidden="false" customHeight="false" outlineLevel="0" collapsed="false">
      <c r="A238" s="1" t="s">
        <v>403</v>
      </c>
      <c r="B238" s="1" t="s">
        <v>91</v>
      </c>
      <c r="C238" s="1" t="s">
        <v>162</v>
      </c>
      <c r="D238" s="1" t="s">
        <v>156</v>
      </c>
      <c r="E238" s="1" t="s">
        <v>165</v>
      </c>
      <c r="F238" s="1" t="n">
        <v>398882</v>
      </c>
      <c r="G238" s="1" t="n">
        <v>366477</v>
      </c>
      <c r="H238" s="1" t="n">
        <v>-32405</v>
      </c>
      <c r="I238" s="1" t="s">
        <v>158</v>
      </c>
    </row>
    <row r="239" customFormat="false" ht="15" hidden="false" customHeight="false" outlineLevel="0" collapsed="false">
      <c r="A239" s="1" t="s">
        <v>404</v>
      </c>
      <c r="B239" s="1" t="s">
        <v>91</v>
      </c>
      <c r="C239" s="1" t="s">
        <v>164</v>
      </c>
      <c r="D239" s="1" t="s">
        <v>156</v>
      </c>
      <c r="E239" s="1" t="s">
        <v>180</v>
      </c>
      <c r="F239" s="1" t="n">
        <v>373301</v>
      </c>
      <c r="G239" s="1" t="n">
        <v>363575</v>
      </c>
      <c r="H239" s="1" t="n">
        <v>-9726</v>
      </c>
      <c r="I239" s="1" t="s">
        <v>158</v>
      </c>
    </row>
    <row r="240" customFormat="false" ht="15" hidden="false" customHeight="false" outlineLevel="0" collapsed="false">
      <c r="A240" s="1" t="s">
        <v>405</v>
      </c>
      <c r="B240" s="1" t="s">
        <v>91</v>
      </c>
      <c r="C240" s="1" t="s">
        <v>167</v>
      </c>
      <c r="D240" s="1" t="s">
        <v>168</v>
      </c>
      <c r="E240" s="1" t="s">
        <v>172</v>
      </c>
      <c r="F240" s="1" t="n">
        <v>558605</v>
      </c>
      <c r="G240" s="1" t="n">
        <v>718578</v>
      </c>
      <c r="H240" s="1" t="n">
        <v>159974</v>
      </c>
      <c r="I240" s="1" t="s">
        <v>158</v>
      </c>
    </row>
    <row r="241" customFormat="false" ht="15" hidden="false" customHeight="false" outlineLevel="0" collapsed="false">
      <c r="A241" s="1" t="s">
        <v>406</v>
      </c>
      <c r="B241" s="1" t="s">
        <v>91</v>
      </c>
      <c r="C241" s="1" t="s">
        <v>170</v>
      </c>
      <c r="D241" s="1" t="s">
        <v>168</v>
      </c>
      <c r="E241" s="1" t="s">
        <v>165</v>
      </c>
      <c r="F241" s="1" t="n">
        <v>228004</v>
      </c>
      <c r="G241" s="1" t="n">
        <v>249218</v>
      </c>
      <c r="H241" s="1" t="n">
        <v>21213</v>
      </c>
      <c r="I241" s="1" t="s">
        <v>158</v>
      </c>
    </row>
    <row r="242" customFormat="false" ht="15" hidden="false" customHeight="false" outlineLevel="0" collapsed="false">
      <c r="A242" s="1" t="s">
        <v>407</v>
      </c>
      <c r="B242" s="1" t="s">
        <v>92</v>
      </c>
      <c r="C242" s="1" t="s">
        <v>155</v>
      </c>
      <c r="D242" s="1" t="s">
        <v>156</v>
      </c>
      <c r="E242" s="1" t="s">
        <v>157</v>
      </c>
      <c r="F242" s="1" t="n">
        <v>1327280</v>
      </c>
      <c r="G242" s="1" t="n">
        <v>1341689</v>
      </c>
      <c r="H242" s="1" t="n">
        <v>14408</v>
      </c>
      <c r="I242" s="1" t="s">
        <v>158</v>
      </c>
    </row>
    <row r="243" customFormat="false" ht="15" hidden="false" customHeight="false" outlineLevel="0" collapsed="false">
      <c r="A243" s="1" t="s">
        <v>408</v>
      </c>
      <c r="B243" s="1" t="s">
        <v>92</v>
      </c>
      <c r="C243" s="1" t="s">
        <v>160</v>
      </c>
      <c r="D243" s="1" t="s">
        <v>156</v>
      </c>
      <c r="E243" s="1" t="s">
        <v>180</v>
      </c>
      <c r="F243" s="1" t="n">
        <v>796371</v>
      </c>
      <c r="G243" s="1" t="n">
        <v>893378</v>
      </c>
      <c r="H243" s="1" t="n">
        <v>97007</v>
      </c>
      <c r="I243" s="1" t="s">
        <v>158</v>
      </c>
    </row>
    <row r="244" customFormat="false" ht="15" hidden="false" customHeight="false" outlineLevel="0" collapsed="false">
      <c r="A244" s="1" t="s">
        <v>409</v>
      </c>
      <c r="B244" s="1" t="s">
        <v>92</v>
      </c>
      <c r="C244" s="1" t="s">
        <v>162</v>
      </c>
      <c r="D244" s="1" t="s">
        <v>156</v>
      </c>
      <c r="E244" s="1" t="s">
        <v>180</v>
      </c>
      <c r="F244" s="1" t="n">
        <v>376270</v>
      </c>
      <c r="G244" s="1" t="n">
        <v>367538</v>
      </c>
      <c r="H244" s="1" t="n">
        <v>-8732</v>
      </c>
      <c r="I244" s="1" t="s">
        <v>158</v>
      </c>
    </row>
    <row r="245" customFormat="false" ht="15" hidden="false" customHeight="false" outlineLevel="0" collapsed="false">
      <c r="A245" s="1" t="s">
        <v>410</v>
      </c>
      <c r="B245" s="1" t="s">
        <v>92</v>
      </c>
      <c r="C245" s="1" t="s">
        <v>164</v>
      </c>
      <c r="D245" s="1" t="s">
        <v>156</v>
      </c>
      <c r="E245" s="1" t="s">
        <v>165</v>
      </c>
      <c r="F245" s="1" t="n">
        <v>273833</v>
      </c>
      <c r="G245" s="1" t="n">
        <v>276965</v>
      </c>
      <c r="H245" s="1" t="n">
        <v>3131</v>
      </c>
      <c r="I245" s="1" t="s">
        <v>158</v>
      </c>
    </row>
    <row r="246" customFormat="false" ht="15" hidden="false" customHeight="false" outlineLevel="0" collapsed="false">
      <c r="A246" s="1" t="s">
        <v>411</v>
      </c>
      <c r="B246" s="1" t="s">
        <v>92</v>
      </c>
      <c r="C246" s="1" t="s">
        <v>167</v>
      </c>
      <c r="D246" s="1" t="s">
        <v>168</v>
      </c>
      <c r="E246" s="1" t="s">
        <v>172</v>
      </c>
      <c r="F246" s="1" t="n">
        <v>493591</v>
      </c>
      <c r="G246" s="1" t="n">
        <v>467250</v>
      </c>
      <c r="H246" s="1" t="n">
        <v>-26341</v>
      </c>
      <c r="I246" s="1" t="s">
        <v>158</v>
      </c>
    </row>
    <row r="247" customFormat="false" ht="15" hidden="false" customHeight="false" outlineLevel="0" collapsed="false">
      <c r="A247" s="1" t="s">
        <v>412</v>
      </c>
      <c r="B247" s="1" t="s">
        <v>92</v>
      </c>
      <c r="C247" s="1" t="s">
        <v>170</v>
      </c>
      <c r="D247" s="1" t="s">
        <v>168</v>
      </c>
      <c r="E247" s="1" t="s">
        <v>165</v>
      </c>
      <c r="F247" s="1" t="n">
        <v>199155</v>
      </c>
      <c r="G247" s="1" t="n">
        <v>208359</v>
      </c>
      <c r="H247" s="1" t="n">
        <v>9204</v>
      </c>
      <c r="I247" s="1" t="s">
        <v>158</v>
      </c>
    </row>
    <row r="248" customFormat="false" ht="15" hidden="false" customHeight="false" outlineLevel="0" collapsed="false">
      <c r="A248" s="1" t="s">
        <v>413</v>
      </c>
      <c r="B248" s="1" t="s">
        <v>93</v>
      </c>
      <c r="C248" s="1" t="s">
        <v>155</v>
      </c>
      <c r="D248" s="1" t="s">
        <v>156</v>
      </c>
      <c r="E248" s="1" t="s">
        <v>165</v>
      </c>
      <c r="F248" s="1" t="n">
        <v>1360696</v>
      </c>
      <c r="G248" s="1" t="n">
        <v>1362760</v>
      </c>
      <c r="H248" s="1" t="n">
        <v>2064</v>
      </c>
      <c r="I248" s="1" t="s">
        <v>158</v>
      </c>
    </row>
    <row r="249" customFormat="false" ht="15" hidden="false" customHeight="false" outlineLevel="0" collapsed="false">
      <c r="A249" s="1" t="s">
        <v>414</v>
      </c>
      <c r="B249" s="1" t="s">
        <v>93</v>
      </c>
      <c r="C249" s="1" t="s">
        <v>160</v>
      </c>
      <c r="D249" s="1" t="s">
        <v>156</v>
      </c>
      <c r="E249" s="1" t="s">
        <v>157</v>
      </c>
      <c r="F249" s="1" t="n">
        <v>602638</v>
      </c>
      <c r="G249" s="1" t="n">
        <v>553715</v>
      </c>
      <c r="H249" s="1" t="n">
        <v>-48923</v>
      </c>
      <c r="I249" s="1" t="s">
        <v>158</v>
      </c>
    </row>
    <row r="250" customFormat="false" ht="15" hidden="false" customHeight="false" outlineLevel="0" collapsed="false">
      <c r="A250" s="1" t="s">
        <v>415</v>
      </c>
      <c r="B250" s="1" t="s">
        <v>93</v>
      </c>
      <c r="C250" s="1" t="s">
        <v>162</v>
      </c>
      <c r="D250" s="1" t="s">
        <v>156</v>
      </c>
      <c r="E250" s="1" t="s">
        <v>172</v>
      </c>
      <c r="F250" s="1" t="n">
        <v>280713</v>
      </c>
      <c r="G250" s="1" t="n">
        <v>291381</v>
      </c>
      <c r="H250" s="1" t="n">
        <v>10668</v>
      </c>
      <c r="I250" s="1" t="s">
        <v>158</v>
      </c>
    </row>
    <row r="251" customFormat="false" ht="15" hidden="false" customHeight="false" outlineLevel="0" collapsed="false">
      <c r="A251" s="1" t="s">
        <v>416</v>
      </c>
      <c r="B251" s="1" t="s">
        <v>93</v>
      </c>
      <c r="C251" s="1" t="s">
        <v>164</v>
      </c>
      <c r="D251" s="1" t="s">
        <v>156</v>
      </c>
      <c r="E251" s="1" t="s">
        <v>165</v>
      </c>
      <c r="F251" s="1" t="n">
        <v>240594</v>
      </c>
      <c r="G251" s="1" t="n">
        <v>236430</v>
      </c>
      <c r="H251" s="1" t="n">
        <v>-4164</v>
      </c>
      <c r="I251" s="1" t="s">
        <v>158</v>
      </c>
    </row>
    <row r="252" customFormat="false" ht="15" hidden="false" customHeight="false" outlineLevel="0" collapsed="false">
      <c r="A252" s="1" t="s">
        <v>417</v>
      </c>
      <c r="B252" s="1" t="s">
        <v>93</v>
      </c>
      <c r="C252" s="1" t="s">
        <v>167</v>
      </c>
      <c r="D252" s="1" t="s">
        <v>168</v>
      </c>
      <c r="E252" s="1" t="s">
        <v>172</v>
      </c>
      <c r="F252" s="1" t="n">
        <v>467577</v>
      </c>
      <c r="G252" s="1" t="n">
        <v>505909</v>
      </c>
      <c r="H252" s="1" t="n">
        <v>38332</v>
      </c>
      <c r="I252" s="1" t="s">
        <v>158</v>
      </c>
    </row>
    <row r="253" customFormat="false" ht="15" hidden="false" customHeight="false" outlineLevel="0" collapsed="false">
      <c r="A253" s="1" t="s">
        <v>418</v>
      </c>
      <c r="B253" s="1" t="s">
        <v>93</v>
      </c>
      <c r="C253" s="1" t="s">
        <v>170</v>
      </c>
      <c r="D253" s="1" t="s">
        <v>168</v>
      </c>
      <c r="E253" s="1" t="s">
        <v>172</v>
      </c>
      <c r="F253" s="1" t="n">
        <v>189398</v>
      </c>
      <c r="G253" s="1" t="n">
        <v>193768</v>
      </c>
      <c r="H253" s="1" t="n">
        <v>4370</v>
      </c>
      <c r="I253" s="1" t="s">
        <v>158</v>
      </c>
    </row>
    <row r="254" customFormat="false" ht="15" hidden="false" customHeight="false" outlineLevel="0" collapsed="false">
      <c r="A254" s="1" t="s">
        <v>419</v>
      </c>
      <c r="B254" s="1" t="s">
        <v>94</v>
      </c>
      <c r="C254" s="1" t="s">
        <v>155</v>
      </c>
      <c r="D254" s="1" t="s">
        <v>156</v>
      </c>
      <c r="E254" s="1" t="s">
        <v>180</v>
      </c>
      <c r="F254" s="1" t="n">
        <v>1093369</v>
      </c>
      <c r="G254" s="1" t="n">
        <v>1126584</v>
      </c>
      <c r="H254" s="1" t="n">
        <v>33215</v>
      </c>
      <c r="I254" s="1" t="s">
        <v>158</v>
      </c>
    </row>
    <row r="255" customFormat="false" ht="15" hidden="false" customHeight="false" outlineLevel="0" collapsed="false">
      <c r="A255" s="1" t="s">
        <v>420</v>
      </c>
      <c r="B255" s="1" t="s">
        <v>94</v>
      </c>
      <c r="C255" s="1" t="s">
        <v>160</v>
      </c>
      <c r="D255" s="1" t="s">
        <v>156</v>
      </c>
      <c r="E255" s="1" t="s">
        <v>180</v>
      </c>
      <c r="F255" s="1" t="n">
        <v>606723</v>
      </c>
      <c r="G255" s="1" t="n">
        <v>582791</v>
      </c>
      <c r="H255" s="1" t="n">
        <v>-23932</v>
      </c>
      <c r="I255" s="1" t="s">
        <v>158</v>
      </c>
    </row>
    <row r="256" customFormat="false" ht="15" hidden="false" customHeight="false" outlineLevel="0" collapsed="false">
      <c r="A256" s="1" t="s">
        <v>421</v>
      </c>
      <c r="B256" s="1" t="s">
        <v>94</v>
      </c>
      <c r="C256" s="1" t="s">
        <v>162</v>
      </c>
      <c r="D256" s="1" t="s">
        <v>156</v>
      </c>
      <c r="E256" s="1" t="s">
        <v>180</v>
      </c>
      <c r="F256" s="1" t="n">
        <v>297032</v>
      </c>
      <c r="G256" s="1" t="n">
        <v>347401</v>
      </c>
      <c r="H256" s="1" t="n">
        <v>50368</v>
      </c>
      <c r="I256" s="1" t="s">
        <v>158</v>
      </c>
    </row>
    <row r="257" customFormat="false" ht="15" hidden="false" customHeight="false" outlineLevel="0" collapsed="false">
      <c r="A257" s="1" t="s">
        <v>422</v>
      </c>
      <c r="B257" s="1" t="s">
        <v>94</v>
      </c>
      <c r="C257" s="1" t="s">
        <v>164</v>
      </c>
      <c r="D257" s="1" t="s">
        <v>156</v>
      </c>
      <c r="E257" s="1" t="s">
        <v>165</v>
      </c>
      <c r="F257" s="1" t="n">
        <v>255392</v>
      </c>
      <c r="G257" s="1" t="n">
        <v>258393</v>
      </c>
      <c r="H257" s="1" t="n">
        <v>3000</v>
      </c>
      <c r="I257" s="1" t="s">
        <v>158</v>
      </c>
    </row>
    <row r="258" customFormat="false" ht="15" hidden="false" customHeight="false" outlineLevel="0" collapsed="false">
      <c r="A258" s="1" t="s">
        <v>423</v>
      </c>
      <c r="B258" s="1" t="s">
        <v>94</v>
      </c>
      <c r="C258" s="1" t="s">
        <v>167</v>
      </c>
      <c r="D258" s="1" t="s">
        <v>168</v>
      </c>
      <c r="E258" s="1" t="s">
        <v>180</v>
      </c>
      <c r="F258" s="1" t="n">
        <v>431835</v>
      </c>
      <c r="G258" s="1" t="n">
        <v>489514</v>
      </c>
      <c r="H258" s="1" t="n">
        <v>57679</v>
      </c>
      <c r="I258" s="1" t="s">
        <v>158</v>
      </c>
    </row>
    <row r="259" customFormat="false" ht="15" hidden="false" customHeight="false" outlineLevel="0" collapsed="false">
      <c r="A259" s="1" t="s">
        <v>424</v>
      </c>
      <c r="B259" s="1" t="s">
        <v>94</v>
      </c>
      <c r="C259" s="1" t="s">
        <v>170</v>
      </c>
      <c r="D259" s="1" t="s">
        <v>168</v>
      </c>
      <c r="E259" s="1" t="s">
        <v>180</v>
      </c>
      <c r="F259" s="1" t="n">
        <v>170473</v>
      </c>
      <c r="G259" s="1" t="n">
        <v>183350</v>
      </c>
      <c r="H259" s="1" t="n">
        <v>12877</v>
      </c>
      <c r="I259" s="1" t="s">
        <v>158</v>
      </c>
    </row>
    <row r="260" customFormat="false" ht="15" hidden="false" customHeight="false" outlineLevel="0" collapsed="false">
      <c r="A260" s="1" t="s">
        <v>425</v>
      </c>
      <c r="B260" s="1" t="s">
        <v>95</v>
      </c>
      <c r="C260" s="1" t="s">
        <v>155</v>
      </c>
      <c r="D260" s="1" t="s">
        <v>156</v>
      </c>
      <c r="E260" s="1" t="s">
        <v>157</v>
      </c>
      <c r="F260" s="1" t="n">
        <v>1296082</v>
      </c>
      <c r="G260" s="1" t="n">
        <v>1181324</v>
      </c>
      <c r="H260" s="1" t="n">
        <v>-114757</v>
      </c>
      <c r="I260" s="1" t="s">
        <v>158</v>
      </c>
    </row>
    <row r="261" customFormat="false" ht="15" hidden="false" customHeight="false" outlineLevel="0" collapsed="false">
      <c r="A261" s="1" t="s">
        <v>426</v>
      </c>
      <c r="B261" s="1" t="s">
        <v>95</v>
      </c>
      <c r="C261" s="1" t="s">
        <v>160</v>
      </c>
      <c r="D261" s="1" t="s">
        <v>156</v>
      </c>
      <c r="E261" s="1" t="s">
        <v>157</v>
      </c>
      <c r="F261" s="1" t="n">
        <v>668537</v>
      </c>
      <c r="G261" s="1" t="n">
        <v>694482</v>
      </c>
      <c r="H261" s="1" t="n">
        <v>25946</v>
      </c>
      <c r="I261" s="1" t="s">
        <v>158</v>
      </c>
    </row>
    <row r="262" customFormat="false" ht="15" hidden="false" customHeight="false" outlineLevel="0" collapsed="false">
      <c r="A262" s="1" t="s">
        <v>427</v>
      </c>
      <c r="B262" s="1" t="s">
        <v>95</v>
      </c>
      <c r="C262" s="1" t="s">
        <v>162</v>
      </c>
      <c r="D262" s="1" t="s">
        <v>156</v>
      </c>
      <c r="E262" s="1" t="s">
        <v>172</v>
      </c>
      <c r="F262" s="1" t="n">
        <v>385936</v>
      </c>
      <c r="G262" s="1" t="n">
        <v>398312</v>
      </c>
      <c r="H262" s="1" t="n">
        <v>12376</v>
      </c>
      <c r="I262" s="1" t="s">
        <v>158</v>
      </c>
    </row>
    <row r="263" customFormat="false" ht="15" hidden="false" customHeight="false" outlineLevel="0" collapsed="false">
      <c r="A263" s="1" t="s">
        <v>428</v>
      </c>
      <c r="B263" s="1" t="s">
        <v>95</v>
      </c>
      <c r="C263" s="1" t="s">
        <v>164</v>
      </c>
      <c r="D263" s="1" t="s">
        <v>156</v>
      </c>
      <c r="E263" s="1" t="s">
        <v>180</v>
      </c>
      <c r="F263" s="1" t="n">
        <v>216778</v>
      </c>
      <c r="G263" s="1" t="n">
        <v>174921</v>
      </c>
      <c r="H263" s="1" t="n">
        <v>-41857</v>
      </c>
      <c r="I263" s="1" t="s">
        <v>158</v>
      </c>
    </row>
    <row r="264" customFormat="false" ht="15" hidden="false" customHeight="false" outlineLevel="0" collapsed="false">
      <c r="A264" s="1" t="s">
        <v>429</v>
      </c>
      <c r="B264" s="1" t="s">
        <v>95</v>
      </c>
      <c r="C264" s="1" t="s">
        <v>167</v>
      </c>
      <c r="D264" s="1" t="s">
        <v>168</v>
      </c>
      <c r="E264" s="1" t="s">
        <v>180</v>
      </c>
      <c r="F264" s="1" t="n">
        <v>450219</v>
      </c>
      <c r="G264" s="1" t="n">
        <v>418775</v>
      </c>
      <c r="H264" s="1" t="n">
        <v>-31444</v>
      </c>
      <c r="I264" s="1" t="s">
        <v>158</v>
      </c>
    </row>
    <row r="265" customFormat="false" ht="15" hidden="false" customHeight="false" outlineLevel="0" collapsed="false">
      <c r="A265" s="1" t="s">
        <v>430</v>
      </c>
      <c r="B265" s="1" t="s">
        <v>95</v>
      </c>
      <c r="C265" s="1" t="s">
        <v>170</v>
      </c>
      <c r="D265" s="1" t="s">
        <v>168</v>
      </c>
      <c r="E265" s="1" t="s">
        <v>180</v>
      </c>
      <c r="F265" s="1" t="n">
        <v>192245</v>
      </c>
      <c r="G265" s="1" t="n">
        <v>183004</v>
      </c>
      <c r="H265" s="1" t="n">
        <v>-9241</v>
      </c>
      <c r="I265" s="1" t="s">
        <v>158</v>
      </c>
    </row>
    <row r="266" customFormat="false" ht="15" hidden="false" customHeight="false" outlineLevel="0" collapsed="false">
      <c r="A266" s="1" t="s">
        <v>431</v>
      </c>
      <c r="B266" s="1" t="s">
        <v>96</v>
      </c>
      <c r="C266" s="1" t="s">
        <v>155</v>
      </c>
      <c r="D266" s="1" t="s">
        <v>156</v>
      </c>
      <c r="E266" s="1" t="s">
        <v>157</v>
      </c>
      <c r="F266" s="1" t="n">
        <v>1203250</v>
      </c>
      <c r="G266" s="1" t="n">
        <v>1181367</v>
      </c>
      <c r="H266" s="1" t="n">
        <v>-21883</v>
      </c>
      <c r="I266" s="1" t="s">
        <v>158</v>
      </c>
    </row>
    <row r="267" customFormat="false" ht="15" hidden="false" customHeight="false" outlineLevel="0" collapsed="false">
      <c r="A267" s="1" t="s">
        <v>432</v>
      </c>
      <c r="B267" s="1" t="s">
        <v>96</v>
      </c>
      <c r="C267" s="1" t="s">
        <v>160</v>
      </c>
      <c r="D267" s="1" t="s">
        <v>156</v>
      </c>
      <c r="E267" s="1" t="s">
        <v>172</v>
      </c>
      <c r="F267" s="1" t="n">
        <v>684689</v>
      </c>
      <c r="G267" s="1" t="n">
        <v>648964</v>
      </c>
      <c r="H267" s="1" t="n">
        <v>-35725</v>
      </c>
      <c r="I267" s="1" t="s">
        <v>158</v>
      </c>
    </row>
    <row r="268" customFormat="false" ht="15" hidden="false" customHeight="false" outlineLevel="0" collapsed="false">
      <c r="A268" s="1" t="s">
        <v>433</v>
      </c>
      <c r="B268" s="1" t="s">
        <v>96</v>
      </c>
      <c r="C268" s="1" t="s">
        <v>162</v>
      </c>
      <c r="D268" s="1" t="s">
        <v>156</v>
      </c>
      <c r="E268" s="1" t="s">
        <v>172</v>
      </c>
      <c r="F268" s="1" t="n">
        <v>241551</v>
      </c>
      <c r="G268" s="1" t="n">
        <v>222625</v>
      </c>
      <c r="H268" s="1" t="n">
        <v>-18926</v>
      </c>
      <c r="I268" s="1" t="s">
        <v>158</v>
      </c>
    </row>
    <row r="269" customFormat="false" ht="15" hidden="false" customHeight="false" outlineLevel="0" collapsed="false">
      <c r="A269" s="1" t="s">
        <v>434</v>
      </c>
      <c r="B269" s="1" t="s">
        <v>96</v>
      </c>
      <c r="C269" s="1" t="s">
        <v>164</v>
      </c>
      <c r="D269" s="1" t="s">
        <v>156</v>
      </c>
      <c r="E269" s="1" t="s">
        <v>165</v>
      </c>
      <c r="F269" s="1" t="n">
        <v>227277</v>
      </c>
      <c r="G269" s="1" t="n">
        <v>225176</v>
      </c>
      <c r="H269" s="1" t="n">
        <v>-2101</v>
      </c>
      <c r="I269" s="1" t="s">
        <v>158</v>
      </c>
    </row>
    <row r="270" customFormat="false" ht="15" hidden="false" customHeight="false" outlineLevel="0" collapsed="false">
      <c r="A270" s="1" t="s">
        <v>435</v>
      </c>
      <c r="B270" s="1" t="s">
        <v>96</v>
      </c>
      <c r="C270" s="1" t="s">
        <v>167</v>
      </c>
      <c r="D270" s="1" t="s">
        <v>168</v>
      </c>
      <c r="E270" s="1" t="s">
        <v>165</v>
      </c>
      <c r="F270" s="1" t="n">
        <v>364593</v>
      </c>
      <c r="G270" s="1" t="n">
        <v>337315</v>
      </c>
      <c r="H270" s="1" t="n">
        <v>-27277</v>
      </c>
      <c r="I270" s="1" t="s">
        <v>158</v>
      </c>
    </row>
    <row r="271" customFormat="false" ht="15" hidden="false" customHeight="false" outlineLevel="0" collapsed="false">
      <c r="A271" s="1" t="s">
        <v>436</v>
      </c>
      <c r="B271" s="1" t="s">
        <v>96</v>
      </c>
      <c r="C271" s="1" t="s">
        <v>170</v>
      </c>
      <c r="D271" s="1" t="s">
        <v>168</v>
      </c>
      <c r="E271" s="1" t="s">
        <v>180</v>
      </c>
      <c r="F271" s="1" t="n">
        <v>159642</v>
      </c>
      <c r="G271" s="1" t="n">
        <v>148366</v>
      </c>
      <c r="H271" s="1" t="n">
        <v>-11275</v>
      </c>
      <c r="I271" s="1" t="s">
        <v>158</v>
      </c>
    </row>
    <row r="272" customFormat="false" ht="15" hidden="false" customHeight="false" outlineLevel="0" collapsed="false">
      <c r="A272" s="1" t="s">
        <v>437</v>
      </c>
      <c r="B272" s="1" t="s">
        <v>97</v>
      </c>
      <c r="C272" s="1" t="s">
        <v>155</v>
      </c>
      <c r="D272" s="1" t="s">
        <v>156</v>
      </c>
      <c r="E272" s="1" t="s">
        <v>157</v>
      </c>
      <c r="F272" s="1" t="n">
        <v>1422403</v>
      </c>
      <c r="G272" s="1" t="n">
        <v>1542089</v>
      </c>
      <c r="H272" s="1" t="n">
        <v>119686</v>
      </c>
      <c r="I272" s="1" t="s">
        <v>158</v>
      </c>
    </row>
    <row r="273" customFormat="false" ht="15" hidden="false" customHeight="false" outlineLevel="0" collapsed="false">
      <c r="A273" s="1" t="s">
        <v>438</v>
      </c>
      <c r="B273" s="1" t="s">
        <v>97</v>
      </c>
      <c r="C273" s="1" t="s">
        <v>160</v>
      </c>
      <c r="D273" s="1" t="s">
        <v>156</v>
      </c>
      <c r="E273" s="1" t="s">
        <v>172</v>
      </c>
      <c r="F273" s="1" t="n">
        <v>836961</v>
      </c>
      <c r="G273" s="1" t="n">
        <v>844065</v>
      </c>
      <c r="H273" s="1" t="n">
        <v>7104</v>
      </c>
      <c r="I273" s="1" t="s">
        <v>439</v>
      </c>
    </row>
    <row r="274" customFormat="false" ht="15" hidden="false" customHeight="false" outlineLevel="0" collapsed="false">
      <c r="A274" s="1" t="s">
        <v>440</v>
      </c>
      <c r="B274" s="1" t="s">
        <v>97</v>
      </c>
      <c r="C274" s="1" t="s">
        <v>162</v>
      </c>
      <c r="D274" s="1" t="s">
        <v>156</v>
      </c>
      <c r="E274" s="1" t="s">
        <v>165</v>
      </c>
      <c r="F274" s="1" t="n">
        <v>313554</v>
      </c>
      <c r="G274" s="1" t="n">
        <v>313441</v>
      </c>
      <c r="H274" s="1" t="n">
        <v>-113</v>
      </c>
      <c r="I274" s="1" t="s">
        <v>158</v>
      </c>
    </row>
    <row r="275" customFormat="false" ht="15" hidden="false" customHeight="false" outlineLevel="0" collapsed="false">
      <c r="A275" s="1" t="s">
        <v>441</v>
      </c>
      <c r="B275" s="1" t="s">
        <v>97</v>
      </c>
      <c r="C275" s="1" t="s">
        <v>164</v>
      </c>
      <c r="D275" s="1" t="s">
        <v>156</v>
      </c>
      <c r="E275" s="1" t="s">
        <v>165</v>
      </c>
      <c r="F275" s="1" t="n">
        <v>261361</v>
      </c>
      <c r="G275" s="1" t="n">
        <v>263679</v>
      </c>
      <c r="H275" s="1" t="n">
        <v>2318</v>
      </c>
      <c r="I275" s="1" t="s">
        <v>439</v>
      </c>
    </row>
    <row r="276" customFormat="false" ht="15" hidden="false" customHeight="false" outlineLevel="0" collapsed="false">
      <c r="A276" s="1" t="s">
        <v>442</v>
      </c>
      <c r="B276" s="1" t="s">
        <v>97</v>
      </c>
      <c r="C276" s="1" t="s">
        <v>167</v>
      </c>
      <c r="D276" s="1" t="s">
        <v>168</v>
      </c>
      <c r="E276" s="1" t="s">
        <v>172</v>
      </c>
      <c r="F276" s="1" t="n">
        <v>486757</v>
      </c>
      <c r="G276" s="1" t="n">
        <v>492634</v>
      </c>
      <c r="H276" s="1" t="n">
        <v>5877</v>
      </c>
      <c r="I276" s="1" t="s">
        <v>439</v>
      </c>
    </row>
    <row r="277" customFormat="false" ht="15" hidden="false" customHeight="false" outlineLevel="0" collapsed="false">
      <c r="A277" s="1" t="s">
        <v>443</v>
      </c>
      <c r="B277" s="1" t="s">
        <v>97</v>
      </c>
      <c r="C277" s="1" t="s">
        <v>170</v>
      </c>
      <c r="D277" s="1" t="s">
        <v>168</v>
      </c>
      <c r="E277" s="1" t="s">
        <v>172</v>
      </c>
      <c r="F277" s="1" t="n">
        <v>234163</v>
      </c>
      <c r="G277" s="1" t="n">
        <v>235165</v>
      </c>
      <c r="H277" s="1" t="n">
        <v>1002</v>
      </c>
      <c r="I277" s="1" t="s">
        <v>439</v>
      </c>
    </row>
    <row r="278" customFormat="false" ht="15" hidden="false" customHeight="false" outlineLevel="0" collapsed="false">
      <c r="A278" s="1" t="s">
        <v>444</v>
      </c>
      <c r="B278" s="1" t="s">
        <v>98</v>
      </c>
      <c r="C278" s="1" t="s">
        <v>155</v>
      </c>
      <c r="D278" s="1" t="s">
        <v>156</v>
      </c>
      <c r="E278" s="1" t="s">
        <v>157</v>
      </c>
      <c r="F278" s="1" t="n">
        <v>1408624</v>
      </c>
      <c r="G278" s="1" t="n">
        <v>1296698</v>
      </c>
      <c r="H278" s="1" t="n">
        <v>-111925</v>
      </c>
      <c r="I278" s="1" t="s">
        <v>158</v>
      </c>
    </row>
    <row r="279" customFormat="false" ht="15" hidden="false" customHeight="false" outlineLevel="0" collapsed="false">
      <c r="A279" s="1" t="s">
        <v>445</v>
      </c>
      <c r="B279" s="1" t="s">
        <v>98</v>
      </c>
      <c r="C279" s="1" t="s">
        <v>160</v>
      </c>
      <c r="D279" s="1" t="s">
        <v>156</v>
      </c>
      <c r="E279" s="1" t="s">
        <v>157</v>
      </c>
      <c r="F279" s="1" t="n">
        <v>685248</v>
      </c>
      <c r="G279" s="1" t="n">
        <v>598352</v>
      </c>
      <c r="H279" s="1" t="n">
        <v>-86896</v>
      </c>
      <c r="I279" s="1" t="s">
        <v>158</v>
      </c>
    </row>
    <row r="280" customFormat="false" ht="15" hidden="false" customHeight="false" outlineLevel="0" collapsed="false">
      <c r="A280" s="1" t="s">
        <v>446</v>
      </c>
      <c r="B280" s="1" t="s">
        <v>98</v>
      </c>
      <c r="C280" s="1" t="s">
        <v>162</v>
      </c>
      <c r="D280" s="1" t="s">
        <v>156</v>
      </c>
      <c r="E280" s="1" t="s">
        <v>172</v>
      </c>
      <c r="F280" s="1" t="n">
        <v>373687</v>
      </c>
      <c r="G280" s="1" t="n">
        <v>312715</v>
      </c>
      <c r="H280" s="1" t="n">
        <v>-60972</v>
      </c>
      <c r="I280" s="1" t="s">
        <v>158</v>
      </c>
    </row>
    <row r="281" customFormat="false" ht="15" hidden="false" customHeight="false" outlineLevel="0" collapsed="false">
      <c r="A281" s="1" t="s">
        <v>447</v>
      </c>
      <c r="B281" s="1" t="s">
        <v>98</v>
      </c>
      <c r="C281" s="1" t="s">
        <v>164</v>
      </c>
      <c r="D281" s="1" t="s">
        <v>156</v>
      </c>
      <c r="E281" s="1" t="s">
        <v>180</v>
      </c>
      <c r="F281" s="1" t="n">
        <v>228968</v>
      </c>
      <c r="G281" s="1" t="n">
        <v>245164</v>
      </c>
      <c r="H281" s="1" t="n">
        <v>16196</v>
      </c>
      <c r="I281" s="1" t="s">
        <v>439</v>
      </c>
    </row>
    <row r="282" customFormat="false" ht="15" hidden="false" customHeight="false" outlineLevel="0" collapsed="false">
      <c r="A282" s="1" t="s">
        <v>448</v>
      </c>
      <c r="B282" s="1" t="s">
        <v>98</v>
      </c>
      <c r="C282" s="1" t="s">
        <v>167</v>
      </c>
      <c r="D282" s="1" t="s">
        <v>168</v>
      </c>
      <c r="E282" s="1" t="s">
        <v>180</v>
      </c>
      <c r="F282" s="1" t="n">
        <v>431390</v>
      </c>
      <c r="G282" s="1" t="n">
        <v>438865</v>
      </c>
      <c r="H282" s="1" t="n">
        <v>7475</v>
      </c>
      <c r="I282" s="1" t="s">
        <v>439</v>
      </c>
    </row>
    <row r="283" customFormat="false" ht="15" hidden="false" customHeight="false" outlineLevel="0" collapsed="false">
      <c r="A283" s="1" t="s">
        <v>449</v>
      </c>
      <c r="B283" s="1" t="s">
        <v>98</v>
      </c>
      <c r="C283" s="1" t="s">
        <v>170</v>
      </c>
      <c r="D283" s="1" t="s">
        <v>168</v>
      </c>
      <c r="E283" s="1" t="s">
        <v>157</v>
      </c>
      <c r="F283" s="1" t="n">
        <v>180235</v>
      </c>
      <c r="G283" s="1" t="n">
        <v>181467</v>
      </c>
      <c r="H283" s="1" t="n">
        <v>1231</v>
      </c>
      <c r="I283" s="1" t="s">
        <v>439</v>
      </c>
    </row>
    <row r="284" customFormat="false" ht="15" hidden="false" customHeight="false" outlineLevel="0" collapsed="false">
      <c r="A284" s="1" t="s">
        <v>450</v>
      </c>
      <c r="B284" s="1" t="s">
        <v>99</v>
      </c>
      <c r="C284" s="1" t="s">
        <v>155</v>
      </c>
      <c r="D284" s="1" t="s">
        <v>156</v>
      </c>
      <c r="E284" s="1" t="s">
        <v>165</v>
      </c>
      <c r="F284" s="1" t="n">
        <v>1343816</v>
      </c>
      <c r="G284" s="1" t="n">
        <v>1357223</v>
      </c>
      <c r="H284" s="1" t="n">
        <v>13407</v>
      </c>
      <c r="I284" s="1" t="s">
        <v>439</v>
      </c>
    </row>
    <row r="285" customFormat="false" ht="15" hidden="false" customHeight="false" outlineLevel="0" collapsed="false">
      <c r="A285" s="1" t="s">
        <v>451</v>
      </c>
      <c r="B285" s="1" t="s">
        <v>99</v>
      </c>
      <c r="C285" s="1" t="s">
        <v>160</v>
      </c>
      <c r="D285" s="1" t="s">
        <v>156</v>
      </c>
      <c r="E285" s="1" t="s">
        <v>172</v>
      </c>
      <c r="F285" s="1" t="n">
        <v>684337</v>
      </c>
      <c r="G285" s="1" t="n">
        <v>650836</v>
      </c>
      <c r="H285" s="1" t="n">
        <v>-33501</v>
      </c>
      <c r="I285" s="1" t="s">
        <v>158</v>
      </c>
    </row>
    <row r="286" customFormat="false" ht="15" hidden="false" customHeight="false" outlineLevel="0" collapsed="false">
      <c r="A286" s="1" t="s">
        <v>452</v>
      </c>
      <c r="B286" s="1" t="s">
        <v>99</v>
      </c>
      <c r="C286" s="1" t="s">
        <v>162</v>
      </c>
      <c r="D286" s="1" t="s">
        <v>156</v>
      </c>
      <c r="E286" s="1" t="s">
        <v>180</v>
      </c>
      <c r="F286" s="1" t="n">
        <v>324361</v>
      </c>
      <c r="G286" s="1" t="n">
        <v>344943</v>
      </c>
      <c r="H286" s="1" t="n">
        <v>20582</v>
      </c>
      <c r="I286" s="1" t="s">
        <v>158</v>
      </c>
    </row>
    <row r="287" customFormat="false" ht="15" hidden="false" customHeight="false" outlineLevel="0" collapsed="false">
      <c r="A287" s="1" t="s">
        <v>453</v>
      </c>
      <c r="B287" s="1" t="s">
        <v>99</v>
      </c>
      <c r="C287" s="1" t="s">
        <v>164</v>
      </c>
      <c r="D287" s="1" t="s">
        <v>156</v>
      </c>
      <c r="E287" s="1" t="s">
        <v>165</v>
      </c>
      <c r="F287" s="1" t="n">
        <v>271392</v>
      </c>
      <c r="G287" s="1" t="n">
        <v>288354</v>
      </c>
      <c r="H287" s="1" t="n">
        <v>16961</v>
      </c>
      <c r="I287" s="1" t="s">
        <v>158</v>
      </c>
    </row>
    <row r="288" customFormat="false" ht="15" hidden="false" customHeight="false" outlineLevel="0" collapsed="false">
      <c r="A288" s="1" t="s">
        <v>454</v>
      </c>
      <c r="B288" s="1" t="s">
        <v>99</v>
      </c>
      <c r="C288" s="1" t="s">
        <v>167</v>
      </c>
      <c r="D288" s="1" t="s">
        <v>168</v>
      </c>
      <c r="E288" s="1" t="s">
        <v>165</v>
      </c>
      <c r="F288" s="1" t="n">
        <v>432705</v>
      </c>
      <c r="G288" s="1" t="n">
        <v>406662</v>
      </c>
      <c r="H288" s="1" t="n">
        <v>-26043</v>
      </c>
      <c r="I288" s="1" t="s">
        <v>439</v>
      </c>
    </row>
    <row r="289" customFormat="false" ht="15" hidden="false" customHeight="false" outlineLevel="0" collapsed="false">
      <c r="A289" s="1" t="s">
        <v>455</v>
      </c>
      <c r="B289" s="1" t="s">
        <v>99</v>
      </c>
      <c r="C289" s="1" t="s">
        <v>170</v>
      </c>
      <c r="D289" s="1" t="s">
        <v>168</v>
      </c>
      <c r="E289" s="1" t="s">
        <v>180</v>
      </c>
      <c r="F289" s="1" t="n">
        <v>159364</v>
      </c>
      <c r="G289" s="1" t="n">
        <v>176977</v>
      </c>
      <c r="H289" s="1" t="n">
        <v>17613</v>
      </c>
      <c r="I289" s="1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7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23"/>
    <col collapsed="false" customWidth="true" hidden="false" outlineLevel="0" max="8" min="8" style="1" width="14"/>
  </cols>
  <sheetData>
    <row r="1" customFormat="false" ht="28.35" hidden="false" customHeight="false" outlineLevel="0" collapsed="false">
      <c r="A1" s="13" t="s">
        <v>456</v>
      </c>
      <c r="B1" s="13" t="s">
        <v>457</v>
      </c>
      <c r="C1" s="13" t="s">
        <v>45</v>
      </c>
      <c r="D1" s="13" t="s">
        <v>458</v>
      </c>
      <c r="E1" s="13" t="s">
        <v>459</v>
      </c>
      <c r="F1" s="13" t="s">
        <v>460</v>
      </c>
      <c r="G1" s="13" t="s">
        <v>461</v>
      </c>
      <c r="H1" s="13" t="s">
        <v>462</v>
      </c>
    </row>
    <row r="2" customFormat="false" ht="15" hidden="false" customHeight="false" outlineLevel="0" collapsed="false">
      <c r="A2" s="1" t="s">
        <v>463</v>
      </c>
      <c r="B2" s="1" t="s">
        <v>464</v>
      </c>
      <c r="C2" s="1" t="s">
        <v>51</v>
      </c>
      <c r="D2" s="1" t="n">
        <v>0.0625</v>
      </c>
      <c r="E2" s="1" t="s">
        <v>465</v>
      </c>
      <c r="F2" s="1" t="n">
        <v>78000000</v>
      </c>
      <c r="G2" s="1" t="n">
        <v>65000000</v>
      </c>
      <c r="H2" s="1" t="s">
        <v>466</v>
      </c>
    </row>
    <row r="3" customFormat="false" ht="15" hidden="false" customHeight="false" outlineLevel="0" collapsed="false">
      <c r="A3" s="1" t="s">
        <v>463</v>
      </c>
      <c r="B3" s="1" t="s">
        <v>464</v>
      </c>
      <c r="C3" s="1" t="s">
        <v>53</v>
      </c>
      <c r="D3" s="1" t="n">
        <v>0.0625</v>
      </c>
      <c r="E3" s="1" t="s">
        <v>465</v>
      </c>
      <c r="F3" s="1" t="n">
        <v>78000000</v>
      </c>
      <c r="G3" s="1" t="n">
        <v>64187500</v>
      </c>
      <c r="H3" s="1" t="s">
        <v>466</v>
      </c>
    </row>
    <row r="4" customFormat="false" ht="15" hidden="false" customHeight="false" outlineLevel="0" collapsed="false">
      <c r="A4" s="1" t="s">
        <v>463</v>
      </c>
      <c r="B4" s="1" t="s">
        <v>464</v>
      </c>
      <c r="C4" s="1" t="s">
        <v>54</v>
      </c>
      <c r="D4" s="1" t="n">
        <v>0.0625</v>
      </c>
      <c r="E4" s="1" t="s">
        <v>465</v>
      </c>
      <c r="F4" s="1" t="n">
        <v>78000000</v>
      </c>
      <c r="G4" s="1" t="n">
        <v>63375000</v>
      </c>
      <c r="H4" s="1" t="s">
        <v>466</v>
      </c>
    </row>
    <row r="5" customFormat="false" ht="15" hidden="false" customHeight="false" outlineLevel="0" collapsed="false">
      <c r="A5" s="1" t="s">
        <v>463</v>
      </c>
      <c r="B5" s="1" t="s">
        <v>464</v>
      </c>
      <c r="C5" s="1" t="s">
        <v>55</v>
      </c>
      <c r="D5" s="1" t="n">
        <v>0.0625</v>
      </c>
      <c r="E5" s="1" t="s">
        <v>465</v>
      </c>
      <c r="F5" s="1" t="n">
        <v>78000000</v>
      </c>
      <c r="G5" s="1" t="n">
        <v>62562500</v>
      </c>
      <c r="H5" s="1" t="s">
        <v>466</v>
      </c>
    </row>
    <row r="6" customFormat="false" ht="15" hidden="false" customHeight="false" outlineLevel="0" collapsed="false">
      <c r="A6" s="1" t="s">
        <v>463</v>
      </c>
      <c r="B6" s="1" t="s">
        <v>464</v>
      </c>
      <c r="C6" s="1" t="s">
        <v>56</v>
      </c>
      <c r="D6" s="1" t="n">
        <v>0.0625</v>
      </c>
      <c r="E6" s="1" t="s">
        <v>465</v>
      </c>
      <c r="F6" s="1" t="n">
        <v>78000000</v>
      </c>
      <c r="G6" s="1" t="n">
        <v>61750000</v>
      </c>
      <c r="H6" s="1" t="s">
        <v>466</v>
      </c>
    </row>
    <row r="7" customFormat="false" ht="15" hidden="false" customHeight="false" outlineLevel="0" collapsed="false">
      <c r="A7" s="1" t="s">
        <v>463</v>
      </c>
      <c r="B7" s="1" t="s">
        <v>464</v>
      </c>
      <c r="C7" s="1" t="s">
        <v>57</v>
      </c>
      <c r="D7" s="1" t="n">
        <v>0.0625</v>
      </c>
      <c r="E7" s="1" t="s">
        <v>465</v>
      </c>
      <c r="F7" s="1" t="n">
        <v>78000000</v>
      </c>
      <c r="G7" s="1" t="n">
        <v>60937500</v>
      </c>
      <c r="H7" s="1" t="s">
        <v>466</v>
      </c>
    </row>
    <row r="8" customFormat="false" ht="15" hidden="false" customHeight="false" outlineLevel="0" collapsed="false">
      <c r="A8" s="1" t="s">
        <v>463</v>
      </c>
      <c r="B8" s="1" t="s">
        <v>464</v>
      </c>
      <c r="C8" s="1" t="s">
        <v>58</v>
      </c>
      <c r="D8" s="1" t="n">
        <v>0.0625</v>
      </c>
      <c r="E8" s="1" t="s">
        <v>465</v>
      </c>
      <c r="F8" s="1" t="n">
        <v>78000000</v>
      </c>
      <c r="G8" s="1" t="n">
        <v>60125000</v>
      </c>
      <c r="H8" s="1" t="s">
        <v>466</v>
      </c>
    </row>
    <row r="9" customFormat="false" ht="15" hidden="false" customHeight="false" outlineLevel="0" collapsed="false">
      <c r="A9" s="1" t="s">
        <v>463</v>
      </c>
      <c r="B9" s="1" t="s">
        <v>464</v>
      </c>
      <c r="C9" s="1" t="s">
        <v>59</v>
      </c>
      <c r="D9" s="1" t="n">
        <v>0.0625</v>
      </c>
      <c r="E9" s="1" t="s">
        <v>465</v>
      </c>
      <c r="F9" s="1" t="n">
        <v>78000000</v>
      </c>
      <c r="G9" s="1" t="n">
        <v>59312500</v>
      </c>
      <c r="H9" s="1" t="s">
        <v>466</v>
      </c>
    </row>
    <row r="10" customFormat="false" ht="15" hidden="false" customHeight="false" outlineLevel="0" collapsed="false">
      <c r="A10" s="1" t="s">
        <v>463</v>
      </c>
      <c r="B10" s="1" t="s">
        <v>464</v>
      </c>
      <c r="C10" s="1" t="s">
        <v>60</v>
      </c>
      <c r="D10" s="1" t="n">
        <v>0.0625</v>
      </c>
      <c r="E10" s="1" t="s">
        <v>465</v>
      </c>
      <c r="F10" s="1" t="n">
        <v>78000000</v>
      </c>
      <c r="G10" s="1" t="n">
        <v>58500000</v>
      </c>
      <c r="H10" s="1" t="s">
        <v>466</v>
      </c>
    </row>
    <row r="11" customFormat="false" ht="15" hidden="false" customHeight="false" outlineLevel="0" collapsed="false">
      <c r="A11" s="1" t="s">
        <v>463</v>
      </c>
      <c r="B11" s="1" t="s">
        <v>464</v>
      </c>
      <c r="C11" s="1" t="s">
        <v>61</v>
      </c>
      <c r="D11" s="1" t="n">
        <v>0.0625</v>
      </c>
      <c r="E11" s="1" t="s">
        <v>465</v>
      </c>
      <c r="F11" s="1" t="n">
        <v>78000000</v>
      </c>
      <c r="G11" s="1" t="n">
        <v>57687500</v>
      </c>
      <c r="H11" s="1" t="s">
        <v>466</v>
      </c>
    </row>
    <row r="12" customFormat="false" ht="15" hidden="false" customHeight="false" outlineLevel="0" collapsed="false">
      <c r="A12" s="1" t="s">
        <v>463</v>
      </c>
      <c r="B12" s="1" t="s">
        <v>464</v>
      </c>
      <c r="C12" s="1" t="s">
        <v>62</v>
      </c>
      <c r="D12" s="1" t="n">
        <v>0.0625</v>
      </c>
      <c r="E12" s="1" t="s">
        <v>465</v>
      </c>
      <c r="F12" s="1" t="n">
        <v>78000000</v>
      </c>
      <c r="G12" s="1" t="n">
        <v>56875000</v>
      </c>
      <c r="H12" s="1" t="s">
        <v>466</v>
      </c>
    </row>
    <row r="13" customFormat="false" ht="15" hidden="false" customHeight="false" outlineLevel="0" collapsed="false">
      <c r="A13" s="1" t="s">
        <v>463</v>
      </c>
      <c r="B13" s="1" t="s">
        <v>464</v>
      </c>
      <c r="C13" s="1" t="s">
        <v>63</v>
      </c>
      <c r="D13" s="1" t="n">
        <v>0.0625</v>
      </c>
      <c r="E13" s="1" t="s">
        <v>465</v>
      </c>
      <c r="F13" s="1" t="n">
        <v>78000000</v>
      </c>
      <c r="G13" s="1" t="n">
        <v>56062500</v>
      </c>
      <c r="H13" s="1" t="s">
        <v>466</v>
      </c>
    </row>
    <row r="14" customFormat="false" ht="15" hidden="false" customHeight="false" outlineLevel="0" collapsed="false">
      <c r="A14" s="1" t="s">
        <v>463</v>
      </c>
      <c r="B14" s="1" t="s">
        <v>464</v>
      </c>
      <c r="C14" s="1" t="s">
        <v>64</v>
      </c>
      <c r="D14" s="1" t="n">
        <v>0.0625</v>
      </c>
      <c r="E14" s="1" t="s">
        <v>465</v>
      </c>
      <c r="F14" s="1" t="n">
        <v>78000000</v>
      </c>
      <c r="G14" s="1" t="n">
        <v>55250000</v>
      </c>
      <c r="H14" s="1" t="s">
        <v>466</v>
      </c>
    </row>
    <row r="15" customFormat="false" ht="15" hidden="false" customHeight="false" outlineLevel="0" collapsed="false">
      <c r="A15" s="1" t="s">
        <v>463</v>
      </c>
      <c r="B15" s="1" t="s">
        <v>464</v>
      </c>
      <c r="C15" s="1" t="s">
        <v>65</v>
      </c>
      <c r="D15" s="1" t="n">
        <v>0.0625</v>
      </c>
      <c r="E15" s="1" t="s">
        <v>465</v>
      </c>
      <c r="F15" s="1" t="n">
        <v>78000000</v>
      </c>
      <c r="G15" s="1" t="n">
        <v>54437500</v>
      </c>
      <c r="H15" s="1" t="s">
        <v>466</v>
      </c>
    </row>
    <row r="16" customFormat="false" ht="15" hidden="false" customHeight="false" outlineLevel="0" collapsed="false">
      <c r="A16" s="1" t="s">
        <v>463</v>
      </c>
      <c r="B16" s="1" t="s">
        <v>464</v>
      </c>
      <c r="C16" s="1" t="s">
        <v>66</v>
      </c>
      <c r="D16" s="1" t="n">
        <v>0.0625</v>
      </c>
      <c r="E16" s="1" t="s">
        <v>465</v>
      </c>
      <c r="F16" s="1" t="n">
        <v>78000000</v>
      </c>
      <c r="G16" s="1" t="n">
        <v>53625000</v>
      </c>
      <c r="H16" s="1" t="s">
        <v>466</v>
      </c>
    </row>
    <row r="17" customFormat="false" ht="15" hidden="false" customHeight="false" outlineLevel="0" collapsed="false">
      <c r="A17" s="1" t="s">
        <v>463</v>
      </c>
      <c r="B17" s="1" t="s">
        <v>464</v>
      </c>
      <c r="C17" s="1" t="s">
        <v>67</v>
      </c>
      <c r="D17" s="1" t="n">
        <v>0.0625</v>
      </c>
      <c r="E17" s="1" t="s">
        <v>465</v>
      </c>
      <c r="F17" s="1" t="n">
        <v>78000000</v>
      </c>
      <c r="G17" s="1" t="n">
        <v>52812500</v>
      </c>
      <c r="H17" s="1" t="s">
        <v>466</v>
      </c>
    </row>
    <row r="18" customFormat="false" ht="15" hidden="false" customHeight="false" outlineLevel="0" collapsed="false">
      <c r="A18" s="1" t="s">
        <v>463</v>
      </c>
      <c r="B18" s="1" t="s">
        <v>464</v>
      </c>
      <c r="C18" s="1" t="s">
        <v>68</v>
      </c>
      <c r="D18" s="1" t="n">
        <v>0.0625</v>
      </c>
      <c r="E18" s="1" t="s">
        <v>465</v>
      </c>
      <c r="F18" s="1" t="n">
        <v>78000000</v>
      </c>
      <c r="G18" s="1" t="n">
        <v>52000000</v>
      </c>
      <c r="H18" s="1" t="s">
        <v>466</v>
      </c>
    </row>
    <row r="19" customFormat="false" ht="15" hidden="false" customHeight="false" outlineLevel="0" collapsed="false">
      <c r="A19" s="1" t="s">
        <v>463</v>
      </c>
      <c r="B19" s="1" t="s">
        <v>464</v>
      </c>
      <c r="C19" s="1" t="s">
        <v>69</v>
      </c>
      <c r="D19" s="1" t="n">
        <v>0.0625</v>
      </c>
      <c r="E19" s="1" t="s">
        <v>465</v>
      </c>
      <c r="F19" s="1" t="n">
        <v>78000000</v>
      </c>
      <c r="G19" s="1" t="n">
        <v>51187500</v>
      </c>
      <c r="H19" s="1" t="s">
        <v>466</v>
      </c>
    </row>
    <row r="20" customFormat="false" ht="15" hidden="false" customHeight="false" outlineLevel="0" collapsed="false">
      <c r="A20" s="1" t="s">
        <v>463</v>
      </c>
      <c r="B20" s="1" t="s">
        <v>464</v>
      </c>
      <c r="C20" s="1" t="s">
        <v>70</v>
      </c>
      <c r="D20" s="1" t="n">
        <v>0.0625</v>
      </c>
      <c r="E20" s="1" t="s">
        <v>465</v>
      </c>
      <c r="F20" s="1" t="n">
        <v>78000000</v>
      </c>
      <c r="G20" s="1" t="n">
        <v>50375000</v>
      </c>
      <c r="H20" s="1" t="s">
        <v>466</v>
      </c>
    </row>
    <row r="21" customFormat="false" ht="15" hidden="false" customHeight="false" outlineLevel="0" collapsed="false">
      <c r="A21" s="1" t="s">
        <v>463</v>
      </c>
      <c r="B21" s="1" t="s">
        <v>464</v>
      </c>
      <c r="C21" s="1" t="s">
        <v>71</v>
      </c>
      <c r="D21" s="1" t="n">
        <v>0.0625</v>
      </c>
      <c r="E21" s="1" t="s">
        <v>465</v>
      </c>
      <c r="F21" s="1" t="n">
        <v>78000000</v>
      </c>
      <c r="G21" s="1" t="n">
        <v>49562500</v>
      </c>
      <c r="H21" s="1" t="s">
        <v>466</v>
      </c>
    </row>
    <row r="22" customFormat="false" ht="15" hidden="false" customHeight="false" outlineLevel="0" collapsed="false">
      <c r="A22" s="1" t="s">
        <v>463</v>
      </c>
      <c r="B22" s="1" t="s">
        <v>464</v>
      </c>
      <c r="C22" s="1" t="s">
        <v>72</v>
      </c>
      <c r="D22" s="1" t="n">
        <v>0.0625</v>
      </c>
      <c r="E22" s="1" t="s">
        <v>465</v>
      </c>
      <c r="F22" s="1" t="n">
        <v>78000000</v>
      </c>
      <c r="G22" s="1" t="n">
        <v>48750000</v>
      </c>
      <c r="H22" s="1" t="s">
        <v>466</v>
      </c>
    </row>
    <row r="23" customFormat="false" ht="15" hidden="false" customHeight="false" outlineLevel="0" collapsed="false">
      <c r="A23" s="1" t="s">
        <v>463</v>
      </c>
      <c r="B23" s="1" t="s">
        <v>464</v>
      </c>
      <c r="C23" s="1" t="s">
        <v>73</v>
      </c>
      <c r="D23" s="1" t="n">
        <v>0.0625</v>
      </c>
      <c r="E23" s="1" t="s">
        <v>465</v>
      </c>
      <c r="F23" s="1" t="n">
        <v>78000000</v>
      </c>
      <c r="G23" s="1" t="n">
        <v>47937500</v>
      </c>
      <c r="H23" s="1" t="s">
        <v>466</v>
      </c>
    </row>
    <row r="24" customFormat="false" ht="15" hidden="false" customHeight="false" outlineLevel="0" collapsed="false">
      <c r="A24" s="1" t="s">
        <v>463</v>
      </c>
      <c r="B24" s="1" t="s">
        <v>464</v>
      </c>
      <c r="C24" s="1" t="s">
        <v>74</v>
      </c>
      <c r="D24" s="1" t="n">
        <v>0.0625</v>
      </c>
      <c r="E24" s="1" t="s">
        <v>465</v>
      </c>
      <c r="F24" s="1" t="n">
        <v>78000000</v>
      </c>
      <c r="G24" s="1" t="n">
        <v>47125000</v>
      </c>
      <c r="H24" s="1" t="s">
        <v>466</v>
      </c>
    </row>
    <row r="25" customFormat="false" ht="15" hidden="false" customHeight="false" outlineLevel="0" collapsed="false">
      <c r="A25" s="1" t="s">
        <v>463</v>
      </c>
      <c r="B25" s="1" t="s">
        <v>464</v>
      </c>
      <c r="C25" s="1" t="s">
        <v>75</v>
      </c>
      <c r="D25" s="1" t="n">
        <v>0.0625</v>
      </c>
      <c r="E25" s="1" t="s">
        <v>465</v>
      </c>
      <c r="F25" s="1" t="n">
        <v>78000000</v>
      </c>
      <c r="G25" s="1" t="n">
        <v>46312500</v>
      </c>
      <c r="H25" s="1" t="s">
        <v>466</v>
      </c>
    </row>
    <row r="26" customFormat="false" ht="15" hidden="false" customHeight="false" outlineLevel="0" collapsed="false">
      <c r="A26" s="1" t="s">
        <v>463</v>
      </c>
      <c r="B26" s="1" t="s">
        <v>464</v>
      </c>
      <c r="C26" s="1" t="s">
        <v>76</v>
      </c>
      <c r="D26" s="1" t="n">
        <v>0.0625</v>
      </c>
      <c r="E26" s="1" t="s">
        <v>465</v>
      </c>
      <c r="F26" s="1" t="n">
        <v>78000000</v>
      </c>
      <c r="G26" s="1" t="n">
        <v>45500000</v>
      </c>
      <c r="H26" s="1" t="s">
        <v>466</v>
      </c>
    </row>
    <row r="27" customFormat="false" ht="15" hidden="false" customHeight="false" outlineLevel="0" collapsed="false">
      <c r="A27" s="1" t="s">
        <v>463</v>
      </c>
      <c r="B27" s="1" t="s">
        <v>464</v>
      </c>
      <c r="C27" s="1" t="s">
        <v>77</v>
      </c>
      <c r="D27" s="1" t="n">
        <v>0.0625</v>
      </c>
      <c r="E27" s="1" t="s">
        <v>465</v>
      </c>
      <c r="F27" s="1" t="n">
        <v>78000000</v>
      </c>
      <c r="G27" s="1" t="n">
        <v>44687500</v>
      </c>
      <c r="H27" s="1" t="s">
        <v>466</v>
      </c>
    </row>
    <row r="28" customFormat="false" ht="15" hidden="false" customHeight="false" outlineLevel="0" collapsed="false">
      <c r="A28" s="1" t="s">
        <v>463</v>
      </c>
      <c r="B28" s="1" t="s">
        <v>464</v>
      </c>
      <c r="C28" s="1" t="s">
        <v>78</v>
      </c>
      <c r="D28" s="1" t="n">
        <v>0.0625</v>
      </c>
      <c r="E28" s="1" t="s">
        <v>465</v>
      </c>
      <c r="F28" s="1" t="n">
        <v>78000000</v>
      </c>
      <c r="G28" s="1" t="n">
        <v>43875000</v>
      </c>
      <c r="H28" s="1" t="s">
        <v>466</v>
      </c>
    </row>
    <row r="29" customFormat="false" ht="15" hidden="false" customHeight="false" outlineLevel="0" collapsed="false">
      <c r="A29" s="1" t="s">
        <v>463</v>
      </c>
      <c r="B29" s="1" t="s">
        <v>464</v>
      </c>
      <c r="C29" s="1" t="s">
        <v>79</v>
      </c>
      <c r="D29" s="1" t="n">
        <v>0.0625</v>
      </c>
      <c r="E29" s="1" t="s">
        <v>465</v>
      </c>
      <c r="F29" s="1" t="n">
        <v>78000000</v>
      </c>
      <c r="G29" s="1" t="n">
        <v>43062500</v>
      </c>
      <c r="H29" s="1" t="s">
        <v>466</v>
      </c>
    </row>
    <row r="30" customFormat="false" ht="15" hidden="false" customHeight="false" outlineLevel="0" collapsed="false">
      <c r="A30" s="1" t="s">
        <v>463</v>
      </c>
      <c r="B30" s="1" t="s">
        <v>464</v>
      </c>
      <c r="C30" s="1" t="s">
        <v>80</v>
      </c>
      <c r="D30" s="1" t="n">
        <v>0.0625</v>
      </c>
      <c r="E30" s="1" t="s">
        <v>465</v>
      </c>
      <c r="F30" s="1" t="n">
        <v>78000000</v>
      </c>
      <c r="G30" s="1" t="n">
        <v>42250000</v>
      </c>
      <c r="H30" s="1" t="s">
        <v>466</v>
      </c>
    </row>
    <row r="31" customFormat="false" ht="15" hidden="false" customHeight="false" outlineLevel="0" collapsed="false">
      <c r="A31" s="1" t="s">
        <v>463</v>
      </c>
      <c r="B31" s="1" t="s">
        <v>464</v>
      </c>
      <c r="C31" s="1" t="s">
        <v>81</v>
      </c>
      <c r="D31" s="1" t="n">
        <v>0.0625</v>
      </c>
      <c r="E31" s="1" t="s">
        <v>465</v>
      </c>
      <c r="F31" s="1" t="n">
        <v>78000000</v>
      </c>
      <c r="G31" s="1" t="n">
        <v>41437500</v>
      </c>
      <c r="H31" s="1" t="s">
        <v>466</v>
      </c>
    </row>
    <row r="32" customFormat="false" ht="15" hidden="false" customHeight="false" outlineLevel="0" collapsed="false">
      <c r="A32" s="1" t="s">
        <v>463</v>
      </c>
      <c r="B32" s="1" t="s">
        <v>464</v>
      </c>
      <c r="C32" s="1" t="s">
        <v>82</v>
      </c>
      <c r="D32" s="1" t="n">
        <v>0.0625</v>
      </c>
      <c r="E32" s="1" t="s">
        <v>465</v>
      </c>
      <c r="F32" s="1" t="n">
        <v>78000000</v>
      </c>
      <c r="G32" s="1" t="n">
        <v>40625000</v>
      </c>
      <c r="H32" s="1" t="s">
        <v>466</v>
      </c>
    </row>
    <row r="33" customFormat="false" ht="15" hidden="false" customHeight="false" outlineLevel="0" collapsed="false">
      <c r="A33" s="1" t="s">
        <v>463</v>
      </c>
      <c r="B33" s="1" t="s">
        <v>464</v>
      </c>
      <c r="C33" s="1" t="s">
        <v>83</v>
      </c>
      <c r="D33" s="1" t="n">
        <v>0.0625</v>
      </c>
      <c r="E33" s="1" t="s">
        <v>465</v>
      </c>
      <c r="F33" s="1" t="n">
        <v>78000000</v>
      </c>
      <c r="G33" s="1" t="n">
        <v>39812500</v>
      </c>
      <c r="H33" s="1" t="s">
        <v>466</v>
      </c>
    </row>
    <row r="34" customFormat="false" ht="15" hidden="false" customHeight="false" outlineLevel="0" collapsed="false">
      <c r="A34" s="1" t="s">
        <v>463</v>
      </c>
      <c r="B34" s="1" t="s">
        <v>464</v>
      </c>
      <c r="C34" s="1" t="s">
        <v>84</v>
      </c>
      <c r="D34" s="1" t="n">
        <v>0.0625</v>
      </c>
      <c r="E34" s="1" t="s">
        <v>465</v>
      </c>
      <c r="F34" s="1" t="n">
        <v>78000000</v>
      </c>
      <c r="G34" s="1" t="n">
        <v>39000000</v>
      </c>
      <c r="H34" s="1" t="s">
        <v>466</v>
      </c>
    </row>
    <row r="35" customFormat="false" ht="15" hidden="false" customHeight="false" outlineLevel="0" collapsed="false">
      <c r="A35" s="1" t="s">
        <v>463</v>
      </c>
      <c r="B35" s="1" t="s">
        <v>464</v>
      </c>
      <c r="C35" s="1" t="s">
        <v>85</v>
      </c>
      <c r="D35" s="1" t="n">
        <v>0.0625</v>
      </c>
      <c r="E35" s="1" t="s">
        <v>465</v>
      </c>
      <c r="F35" s="1" t="n">
        <v>78000000</v>
      </c>
      <c r="G35" s="1" t="n">
        <v>38187500</v>
      </c>
      <c r="H35" s="1" t="s">
        <v>466</v>
      </c>
    </row>
    <row r="36" customFormat="false" ht="15" hidden="false" customHeight="false" outlineLevel="0" collapsed="false">
      <c r="A36" s="1" t="s">
        <v>463</v>
      </c>
      <c r="B36" s="1" t="s">
        <v>464</v>
      </c>
      <c r="C36" s="1" t="s">
        <v>86</v>
      </c>
      <c r="D36" s="1" t="n">
        <v>0.0625</v>
      </c>
      <c r="E36" s="1" t="s">
        <v>465</v>
      </c>
      <c r="F36" s="1" t="n">
        <v>78000000</v>
      </c>
      <c r="G36" s="1" t="n">
        <v>37375000</v>
      </c>
      <c r="H36" s="1" t="s">
        <v>466</v>
      </c>
    </row>
    <row r="37" customFormat="false" ht="15" hidden="false" customHeight="false" outlineLevel="0" collapsed="false">
      <c r="A37" s="1" t="s">
        <v>463</v>
      </c>
      <c r="B37" s="1" t="s">
        <v>464</v>
      </c>
      <c r="C37" s="1" t="s">
        <v>87</v>
      </c>
      <c r="D37" s="1" t="n">
        <v>0.0625</v>
      </c>
      <c r="E37" s="1" t="s">
        <v>465</v>
      </c>
      <c r="F37" s="1" t="n">
        <v>78000000</v>
      </c>
      <c r="G37" s="1" t="n">
        <v>36562500</v>
      </c>
      <c r="H37" s="1" t="s">
        <v>466</v>
      </c>
    </row>
    <row r="38" customFormat="false" ht="15" hidden="false" customHeight="false" outlineLevel="0" collapsed="false">
      <c r="A38" s="1" t="s">
        <v>463</v>
      </c>
      <c r="B38" s="1" t="s">
        <v>464</v>
      </c>
      <c r="C38" s="1" t="s">
        <v>88</v>
      </c>
      <c r="D38" s="1" t="n">
        <v>0.0625</v>
      </c>
      <c r="E38" s="1" t="s">
        <v>465</v>
      </c>
      <c r="F38" s="1" t="n">
        <v>78000000</v>
      </c>
      <c r="G38" s="1" t="n">
        <v>35750000</v>
      </c>
      <c r="H38" s="1" t="s">
        <v>466</v>
      </c>
    </row>
    <row r="39" customFormat="false" ht="15" hidden="false" customHeight="false" outlineLevel="0" collapsed="false">
      <c r="A39" s="1" t="s">
        <v>463</v>
      </c>
      <c r="B39" s="1" t="s">
        <v>464</v>
      </c>
      <c r="C39" s="1" t="s">
        <v>89</v>
      </c>
      <c r="D39" s="1" t="n">
        <v>0.0625</v>
      </c>
      <c r="E39" s="1" t="s">
        <v>465</v>
      </c>
      <c r="F39" s="1" t="n">
        <v>78000000</v>
      </c>
      <c r="G39" s="1" t="n">
        <v>34937500</v>
      </c>
      <c r="H39" s="1" t="s">
        <v>466</v>
      </c>
    </row>
    <row r="40" customFormat="false" ht="15" hidden="false" customHeight="false" outlineLevel="0" collapsed="false">
      <c r="A40" s="1" t="s">
        <v>463</v>
      </c>
      <c r="B40" s="1" t="s">
        <v>464</v>
      </c>
      <c r="C40" s="1" t="s">
        <v>90</v>
      </c>
      <c r="D40" s="1" t="n">
        <v>0.0625</v>
      </c>
      <c r="E40" s="1" t="s">
        <v>465</v>
      </c>
      <c r="F40" s="1" t="n">
        <v>78000000</v>
      </c>
      <c r="G40" s="1" t="n">
        <v>34125000</v>
      </c>
      <c r="H40" s="1" t="s">
        <v>466</v>
      </c>
    </row>
    <row r="41" customFormat="false" ht="15" hidden="false" customHeight="false" outlineLevel="0" collapsed="false">
      <c r="A41" s="1" t="s">
        <v>463</v>
      </c>
      <c r="B41" s="1" t="s">
        <v>464</v>
      </c>
      <c r="C41" s="1" t="s">
        <v>91</v>
      </c>
      <c r="D41" s="1" t="n">
        <v>0.0625</v>
      </c>
      <c r="E41" s="1" t="s">
        <v>465</v>
      </c>
      <c r="F41" s="1" t="n">
        <v>78000000</v>
      </c>
      <c r="G41" s="1" t="n">
        <v>33312500</v>
      </c>
      <c r="H41" s="1" t="s">
        <v>466</v>
      </c>
    </row>
    <row r="42" customFormat="false" ht="15" hidden="false" customHeight="false" outlineLevel="0" collapsed="false">
      <c r="A42" s="1" t="s">
        <v>463</v>
      </c>
      <c r="B42" s="1" t="s">
        <v>464</v>
      </c>
      <c r="C42" s="1" t="s">
        <v>92</v>
      </c>
      <c r="D42" s="1" t="n">
        <v>0.0625</v>
      </c>
      <c r="E42" s="1" t="s">
        <v>465</v>
      </c>
      <c r="F42" s="1" t="n">
        <v>78000000</v>
      </c>
      <c r="G42" s="1" t="n">
        <v>32500000</v>
      </c>
      <c r="H42" s="1" t="s">
        <v>466</v>
      </c>
    </row>
    <row r="43" customFormat="false" ht="15" hidden="false" customHeight="false" outlineLevel="0" collapsed="false">
      <c r="A43" s="1" t="s">
        <v>463</v>
      </c>
      <c r="B43" s="1" t="s">
        <v>464</v>
      </c>
      <c r="C43" s="1" t="s">
        <v>93</v>
      </c>
      <c r="D43" s="1" t="n">
        <v>0.0625</v>
      </c>
      <c r="E43" s="1" t="s">
        <v>465</v>
      </c>
      <c r="F43" s="1" t="n">
        <v>78000000</v>
      </c>
      <c r="G43" s="1" t="n">
        <v>31687500</v>
      </c>
      <c r="H43" s="1" t="s">
        <v>466</v>
      </c>
    </row>
    <row r="44" customFormat="false" ht="15" hidden="false" customHeight="false" outlineLevel="0" collapsed="false">
      <c r="A44" s="1" t="s">
        <v>463</v>
      </c>
      <c r="B44" s="1" t="s">
        <v>464</v>
      </c>
      <c r="C44" s="1" t="s">
        <v>94</v>
      </c>
      <c r="D44" s="1" t="n">
        <v>0.0625</v>
      </c>
      <c r="E44" s="1" t="s">
        <v>465</v>
      </c>
      <c r="F44" s="1" t="n">
        <v>78000000</v>
      </c>
      <c r="G44" s="1" t="n">
        <v>30875000</v>
      </c>
      <c r="H44" s="1" t="s">
        <v>466</v>
      </c>
    </row>
    <row r="45" customFormat="false" ht="15" hidden="false" customHeight="false" outlineLevel="0" collapsed="false">
      <c r="A45" s="1" t="s">
        <v>463</v>
      </c>
      <c r="B45" s="1" t="s">
        <v>464</v>
      </c>
      <c r="C45" s="1" t="s">
        <v>95</v>
      </c>
      <c r="D45" s="1" t="n">
        <v>0.0625</v>
      </c>
      <c r="E45" s="1" t="s">
        <v>465</v>
      </c>
      <c r="F45" s="1" t="n">
        <v>78000000</v>
      </c>
      <c r="G45" s="1" t="n">
        <v>30062500</v>
      </c>
      <c r="H45" s="1" t="s">
        <v>466</v>
      </c>
    </row>
    <row r="46" customFormat="false" ht="15" hidden="false" customHeight="false" outlineLevel="0" collapsed="false">
      <c r="A46" s="1" t="s">
        <v>463</v>
      </c>
      <c r="B46" s="1" t="s">
        <v>464</v>
      </c>
      <c r="C46" s="1" t="s">
        <v>96</v>
      </c>
      <c r="D46" s="1" t="n">
        <v>0.0625</v>
      </c>
      <c r="E46" s="1" t="s">
        <v>465</v>
      </c>
      <c r="F46" s="1" t="n">
        <v>78000000</v>
      </c>
      <c r="G46" s="1" t="n">
        <v>29250000</v>
      </c>
      <c r="H46" s="1" t="s">
        <v>466</v>
      </c>
    </row>
    <row r="47" customFormat="false" ht="15" hidden="false" customHeight="false" outlineLevel="0" collapsed="false">
      <c r="A47" s="1" t="s">
        <v>463</v>
      </c>
      <c r="B47" s="1" t="s">
        <v>464</v>
      </c>
      <c r="C47" s="1" t="s">
        <v>97</v>
      </c>
      <c r="D47" s="1" t="n">
        <v>0.0625</v>
      </c>
      <c r="E47" s="1" t="s">
        <v>465</v>
      </c>
      <c r="F47" s="1" t="n">
        <v>78000000</v>
      </c>
      <c r="G47" s="1" t="n">
        <v>28437500</v>
      </c>
      <c r="H47" s="1" t="s">
        <v>466</v>
      </c>
    </row>
    <row r="48" customFormat="false" ht="15" hidden="false" customHeight="false" outlineLevel="0" collapsed="false">
      <c r="A48" s="1" t="s">
        <v>463</v>
      </c>
      <c r="B48" s="1" t="s">
        <v>464</v>
      </c>
      <c r="C48" s="1" t="s">
        <v>98</v>
      </c>
      <c r="D48" s="1" t="n">
        <v>0.0625</v>
      </c>
      <c r="E48" s="1" t="s">
        <v>465</v>
      </c>
      <c r="F48" s="1" t="n">
        <v>78000000</v>
      </c>
      <c r="G48" s="1" t="n">
        <v>27625000</v>
      </c>
      <c r="H48" s="1" t="s">
        <v>466</v>
      </c>
    </row>
    <row r="49" customFormat="false" ht="15" hidden="false" customHeight="false" outlineLevel="0" collapsed="false">
      <c r="A49" s="1" t="s">
        <v>463</v>
      </c>
      <c r="B49" s="1" t="s">
        <v>464</v>
      </c>
      <c r="C49" s="1" t="s">
        <v>99</v>
      </c>
      <c r="D49" s="1" t="n">
        <v>0.0625</v>
      </c>
      <c r="E49" s="1" t="s">
        <v>465</v>
      </c>
      <c r="F49" s="1" t="n">
        <v>78000000</v>
      </c>
      <c r="G49" s="1" t="n">
        <v>26812500</v>
      </c>
      <c r="H49" s="1" t="s">
        <v>466</v>
      </c>
    </row>
    <row r="50" customFormat="false" ht="15" hidden="false" customHeight="false" outlineLevel="0" collapsed="false">
      <c r="A50" s="1" t="s">
        <v>467</v>
      </c>
      <c r="B50" s="1" t="s">
        <v>468</v>
      </c>
      <c r="C50" s="1" t="s">
        <v>51</v>
      </c>
      <c r="D50" s="1" t="n">
        <v>0.069</v>
      </c>
      <c r="E50" s="1" t="s">
        <v>465</v>
      </c>
      <c r="F50" s="1" t="n">
        <v>52000000</v>
      </c>
      <c r="G50" s="1" t="n">
        <v>0</v>
      </c>
      <c r="H50" s="1" t="s">
        <v>469</v>
      </c>
    </row>
    <row r="51" customFormat="false" ht="15" hidden="false" customHeight="false" outlineLevel="0" collapsed="false">
      <c r="A51" s="1" t="s">
        <v>467</v>
      </c>
      <c r="B51" s="1" t="s">
        <v>468</v>
      </c>
      <c r="C51" s="1" t="s">
        <v>53</v>
      </c>
      <c r="D51" s="1" t="n">
        <v>0.069</v>
      </c>
      <c r="E51" s="1" t="s">
        <v>465</v>
      </c>
      <c r="F51" s="1" t="n">
        <v>52000000</v>
      </c>
      <c r="G51" s="1" t="n">
        <v>0</v>
      </c>
      <c r="H51" s="1" t="s">
        <v>469</v>
      </c>
    </row>
    <row r="52" customFormat="false" ht="15" hidden="false" customHeight="false" outlineLevel="0" collapsed="false">
      <c r="A52" s="1" t="s">
        <v>467</v>
      </c>
      <c r="B52" s="1" t="s">
        <v>468</v>
      </c>
      <c r="C52" s="1" t="s">
        <v>54</v>
      </c>
      <c r="D52" s="1" t="n">
        <v>0.069</v>
      </c>
      <c r="E52" s="1" t="s">
        <v>465</v>
      </c>
      <c r="F52" s="1" t="n">
        <v>52000000</v>
      </c>
      <c r="G52" s="1" t="n">
        <v>0</v>
      </c>
      <c r="H52" s="1" t="s">
        <v>469</v>
      </c>
    </row>
    <row r="53" customFormat="false" ht="15" hidden="false" customHeight="false" outlineLevel="0" collapsed="false">
      <c r="A53" s="1" t="s">
        <v>467</v>
      </c>
      <c r="B53" s="1" t="s">
        <v>468</v>
      </c>
      <c r="C53" s="1" t="s">
        <v>55</v>
      </c>
      <c r="D53" s="1" t="n">
        <v>0.069</v>
      </c>
      <c r="E53" s="1" t="s">
        <v>465</v>
      </c>
      <c r="F53" s="1" t="n">
        <v>52000000</v>
      </c>
      <c r="G53" s="1" t="n">
        <v>0</v>
      </c>
      <c r="H53" s="1" t="s">
        <v>469</v>
      </c>
    </row>
    <row r="54" customFormat="false" ht="15" hidden="false" customHeight="false" outlineLevel="0" collapsed="false">
      <c r="A54" s="1" t="s">
        <v>467</v>
      </c>
      <c r="B54" s="1" t="s">
        <v>468</v>
      </c>
      <c r="C54" s="1" t="s">
        <v>56</v>
      </c>
      <c r="D54" s="1" t="n">
        <v>0.069</v>
      </c>
      <c r="E54" s="1" t="s">
        <v>465</v>
      </c>
      <c r="F54" s="1" t="n">
        <v>52000000</v>
      </c>
      <c r="G54" s="1" t="n">
        <v>0</v>
      </c>
      <c r="H54" s="1" t="s">
        <v>469</v>
      </c>
    </row>
    <row r="55" customFormat="false" ht="15" hidden="false" customHeight="false" outlineLevel="0" collapsed="false">
      <c r="A55" s="1" t="s">
        <v>467</v>
      </c>
      <c r="B55" s="1" t="s">
        <v>468</v>
      </c>
      <c r="C55" s="1" t="s">
        <v>57</v>
      </c>
      <c r="D55" s="1" t="n">
        <v>0.069</v>
      </c>
      <c r="E55" s="1" t="s">
        <v>465</v>
      </c>
      <c r="F55" s="1" t="n">
        <v>52000000</v>
      </c>
      <c r="G55" s="1" t="n">
        <v>52000000</v>
      </c>
      <c r="H55" s="1" t="s">
        <v>469</v>
      </c>
    </row>
    <row r="56" customFormat="false" ht="15" hidden="false" customHeight="false" outlineLevel="0" collapsed="false">
      <c r="A56" s="1" t="s">
        <v>467</v>
      </c>
      <c r="B56" s="1" t="s">
        <v>468</v>
      </c>
      <c r="C56" s="1" t="s">
        <v>58</v>
      </c>
      <c r="D56" s="1" t="n">
        <v>0.069</v>
      </c>
      <c r="E56" s="1" t="s">
        <v>465</v>
      </c>
      <c r="F56" s="1" t="n">
        <v>52000000</v>
      </c>
      <c r="G56" s="1" t="n">
        <v>51380952</v>
      </c>
      <c r="H56" s="1" t="s">
        <v>469</v>
      </c>
    </row>
    <row r="57" customFormat="false" ht="15" hidden="false" customHeight="false" outlineLevel="0" collapsed="false">
      <c r="A57" s="1" t="s">
        <v>467</v>
      </c>
      <c r="B57" s="1" t="s">
        <v>468</v>
      </c>
      <c r="C57" s="1" t="s">
        <v>59</v>
      </c>
      <c r="D57" s="1" t="n">
        <v>0.069</v>
      </c>
      <c r="E57" s="1" t="s">
        <v>465</v>
      </c>
      <c r="F57" s="1" t="n">
        <v>52000000</v>
      </c>
      <c r="G57" s="1" t="n">
        <v>50761905</v>
      </c>
      <c r="H57" s="1" t="s">
        <v>469</v>
      </c>
    </row>
    <row r="58" customFormat="false" ht="15" hidden="false" customHeight="false" outlineLevel="0" collapsed="false">
      <c r="A58" s="1" t="s">
        <v>467</v>
      </c>
      <c r="B58" s="1" t="s">
        <v>468</v>
      </c>
      <c r="C58" s="1" t="s">
        <v>60</v>
      </c>
      <c r="D58" s="1" t="n">
        <v>0.069</v>
      </c>
      <c r="E58" s="1" t="s">
        <v>465</v>
      </c>
      <c r="F58" s="1" t="n">
        <v>52000000</v>
      </c>
      <c r="G58" s="1" t="n">
        <v>50142857</v>
      </c>
      <c r="H58" s="1" t="s">
        <v>469</v>
      </c>
    </row>
    <row r="59" customFormat="false" ht="15" hidden="false" customHeight="false" outlineLevel="0" collapsed="false">
      <c r="A59" s="1" t="s">
        <v>467</v>
      </c>
      <c r="B59" s="1" t="s">
        <v>468</v>
      </c>
      <c r="C59" s="1" t="s">
        <v>61</v>
      </c>
      <c r="D59" s="1" t="n">
        <v>0.069</v>
      </c>
      <c r="E59" s="1" t="s">
        <v>465</v>
      </c>
      <c r="F59" s="1" t="n">
        <v>52000000</v>
      </c>
      <c r="G59" s="1" t="n">
        <v>49523810</v>
      </c>
      <c r="H59" s="1" t="s">
        <v>469</v>
      </c>
    </row>
    <row r="60" customFormat="false" ht="15" hidden="false" customHeight="false" outlineLevel="0" collapsed="false">
      <c r="A60" s="1" t="s">
        <v>467</v>
      </c>
      <c r="B60" s="1" t="s">
        <v>468</v>
      </c>
      <c r="C60" s="1" t="s">
        <v>62</v>
      </c>
      <c r="D60" s="1" t="n">
        <v>0.069</v>
      </c>
      <c r="E60" s="1" t="s">
        <v>465</v>
      </c>
      <c r="F60" s="1" t="n">
        <v>52000000</v>
      </c>
      <c r="G60" s="1" t="n">
        <v>48904762</v>
      </c>
      <c r="H60" s="1" t="s">
        <v>469</v>
      </c>
    </row>
    <row r="61" customFormat="false" ht="15" hidden="false" customHeight="false" outlineLevel="0" collapsed="false">
      <c r="A61" s="1" t="s">
        <v>467</v>
      </c>
      <c r="B61" s="1" t="s">
        <v>468</v>
      </c>
      <c r="C61" s="1" t="s">
        <v>63</v>
      </c>
      <c r="D61" s="1" t="n">
        <v>0.069</v>
      </c>
      <c r="E61" s="1" t="s">
        <v>465</v>
      </c>
      <c r="F61" s="1" t="n">
        <v>52000000</v>
      </c>
      <c r="G61" s="1" t="n">
        <v>48285714</v>
      </c>
      <c r="H61" s="1" t="s">
        <v>469</v>
      </c>
    </row>
    <row r="62" customFormat="false" ht="15" hidden="false" customHeight="false" outlineLevel="0" collapsed="false">
      <c r="A62" s="1" t="s">
        <v>467</v>
      </c>
      <c r="B62" s="1" t="s">
        <v>468</v>
      </c>
      <c r="C62" s="1" t="s">
        <v>64</v>
      </c>
      <c r="D62" s="1" t="n">
        <v>0.069</v>
      </c>
      <c r="E62" s="1" t="s">
        <v>465</v>
      </c>
      <c r="F62" s="1" t="n">
        <v>52000000</v>
      </c>
      <c r="G62" s="1" t="n">
        <v>47666667</v>
      </c>
      <c r="H62" s="1" t="s">
        <v>469</v>
      </c>
    </row>
    <row r="63" customFormat="false" ht="15" hidden="false" customHeight="false" outlineLevel="0" collapsed="false">
      <c r="A63" s="1" t="s">
        <v>467</v>
      </c>
      <c r="B63" s="1" t="s">
        <v>468</v>
      </c>
      <c r="C63" s="1" t="s">
        <v>65</v>
      </c>
      <c r="D63" s="1" t="n">
        <v>0.069</v>
      </c>
      <c r="E63" s="1" t="s">
        <v>465</v>
      </c>
      <c r="F63" s="1" t="n">
        <v>52000000</v>
      </c>
      <c r="G63" s="1" t="n">
        <v>47047619</v>
      </c>
      <c r="H63" s="1" t="s">
        <v>469</v>
      </c>
    </row>
    <row r="64" customFormat="false" ht="15" hidden="false" customHeight="false" outlineLevel="0" collapsed="false">
      <c r="A64" s="1" t="s">
        <v>467</v>
      </c>
      <c r="B64" s="1" t="s">
        <v>468</v>
      </c>
      <c r="C64" s="1" t="s">
        <v>66</v>
      </c>
      <c r="D64" s="1" t="n">
        <v>0.069</v>
      </c>
      <c r="E64" s="1" t="s">
        <v>465</v>
      </c>
      <c r="F64" s="1" t="n">
        <v>52000000</v>
      </c>
      <c r="G64" s="1" t="n">
        <v>46428571</v>
      </c>
      <c r="H64" s="1" t="s">
        <v>469</v>
      </c>
    </row>
    <row r="65" customFormat="false" ht="15" hidden="false" customHeight="false" outlineLevel="0" collapsed="false">
      <c r="A65" s="1" t="s">
        <v>467</v>
      </c>
      <c r="B65" s="1" t="s">
        <v>468</v>
      </c>
      <c r="C65" s="1" t="s">
        <v>67</v>
      </c>
      <c r="D65" s="1" t="n">
        <v>0.069</v>
      </c>
      <c r="E65" s="1" t="s">
        <v>465</v>
      </c>
      <c r="F65" s="1" t="n">
        <v>52000000</v>
      </c>
      <c r="G65" s="1" t="n">
        <v>45809524</v>
      </c>
      <c r="H65" s="1" t="s">
        <v>469</v>
      </c>
    </row>
    <row r="66" customFormat="false" ht="15" hidden="false" customHeight="false" outlineLevel="0" collapsed="false">
      <c r="A66" s="1" t="s">
        <v>467</v>
      </c>
      <c r="B66" s="1" t="s">
        <v>468</v>
      </c>
      <c r="C66" s="1" t="s">
        <v>68</v>
      </c>
      <c r="D66" s="1" t="n">
        <v>0.069</v>
      </c>
      <c r="E66" s="1" t="s">
        <v>465</v>
      </c>
      <c r="F66" s="1" t="n">
        <v>52000000</v>
      </c>
      <c r="G66" s="1" t="n">
        <v>45190476</v>
      </c>
      <c r="H66" s="1" t="s">
        <v>469</v>
      </c>
    </row>
    <row r="67" customFormat="false" ht="15" hidden="false" customHeight="false" outlineLevel="0" collapsed="false">
      <c r="A67" s="1" t="s">
        <v>467</v>
      </c>
      <c r="B67" s="1" t="s">
        <v>468</v>
      </c>
      <c r="C67" s="1" t="s">
        <v>69</v>
      </c>
      <c r="D67" s="1" t="n">
        <v>0.069</v>
      </c>
      <c r="E67" s="1" t="s">
        <v>465</v>
      </c>
      <c r="F67" s="1" t="n">
        <v>52000000</v>
      </c>
      <c r="G67" s="1" t="n">
        <v>44571429</v>
      </c>
      <c r="H67" s="1" t="s">
        <v>469</v>
      </c>
    </row>
    <row r="68" customFormat="false" ht="15" hidden="false" customHeight="false" outlineLevel="0" collapsed="false">
      <c r="A68" s="1" t="s">
        <v>467</v>
      </c>
      <c r="B68" s="1" t="s">
        <v>468</v>
      </c>
      <c r="C68" s="1" t="s">
        <v>70</v>
      </c>
      <c r="D68" s="1" t="n">
        <v>0.069</v>
      </c>
      <c r="E68" s="1" t="s">
        <v>465</v>
      </c>
      <c r="F68" s="1" t="n">
        <v>52000000</v>
      </c>
      <c r="G68" s="1" t="n">
        <v>43952381</v>
      </c>
      <c r="H68" s="1" t="s">
        <v>469</v>
      </c>
    </row>
    <row r="69" customFormat="false" ht="15" hidden="false" customHeight="false" outlineLevel="0" collapsed="false">
      <c r="A69" s="1" t="s">
        <v>467</v>
      </c>
      <c r="B69" s="1" t="s">
        <v>468</v>
      </c>
      <c r="C69" s="1" t="s">
        <v>71</v>
      </c>
      <c r="D69" s="1" t="n">
        <v>0.069</v>
      </c>
      <c r="E69" s="1" t="s">
        <v>465</v>
      </c>
      <c r="F69" s="1" t="n">
        <v>52000000</v>
      </c>
      <c r="G69" s="1" t="n">
        <v>43333333</v>
      </c>
      <c r="H69" s="1" t="s">
        <v>469</v>
      </c>
    </row>
    <row r="70" customFormat="false" ht="15" hidden="false" customHeight="false" outlineLevel="0" collapsed="false">
      <c r="A70" s="1" t="s">
        <v>467</v>
      </c>
      <c r="B70" s="1" t="s">
        <v>468</v>
      </c>
      <c r="C70" s="1" t="s">
        <v>72</v>
      </c>
      <c r="D70" s="1" t="n">
        <v>0.069</v>
      </c>
      <c r="E70" s="1" t="s">
        <v>465</v>
      </c>
      <c r="F70" s="1" t="n">
        <v>52000000</v>
      </c>
      <c r="G70" s="1" t="n">
        <v>42714286</v>
      </c>
      <c r="H70" s="1" t="s">
        <v>469</v>
      </c>
    </row>
    <row r="71" customFormat="false" ht="15" hidden="false" customHeight="false" outlineLevel="0" collapsed="false">
      <c r="A71" s="1" t="s">
        <v>467</v>
      </c>
      <c r="B71" s="1" t="s">
        <v>468</v>
      </c>
      <c r="C71" s="1" t="s">
        <v>73</v>
      </c>
      <c r="D71" s="1" t="n">
        <v>0.069</v>
      </c>
      <c r="E71" s="1" t="s">
        <v>465</v>
      </c>
      <c r="F71" s="1" t="n">
        <v>52000000</v>
      </c>
      <c r="G71" s="1" t="n">
        <v>42095238</v>
      </c>
      <c r="H71" s="1" t="s">
        <v>469</v>
      </c>
    </row>
    <row r="72" customFormat="false" ht="15" hidden="false" customHeight="false" outlineLevel="0" collapsed="false">
      <c r="A72" s="1" t="s">
        <v>467</v>
      </c>
      <c r="B72" s="1" t="s">
        <v>468</v>
      </c>
      <c r="C72" s="1" t="s">
        <v>74</v>
      </c>
      <c r="D72" s="1" t="n">
        <v>0.069</v>
      </c>
      <c r="E72" s="1" t="s">
        <v>465</v>
      </c>
      <c r="F72" s="1" t="n">
        <v>52000000</v>
      </c>
      <c r="G72" s="1" t="n">
        <v>41476190</v>
      </c>
      <c r="H72" s="1" t="s">
        <v>469</v>
      </c>
    </row>
    <row r="73" customFormat="false" ht="15" hidden="false" customHeight="false" outlineLevel="0" collapsed="false">
      <c r="A73" s="1" t="s">
        <v>467</v>
      </c>
      <c r="B73" s="1" t="s">
        <v>468</v>
      </c>
      <c r="C73" s="1" t="s">
        <v>75</v>
      </c>
      <c r="D73" s="1" t="n">
        <v>0.069</v>
      </c>
      <c r="E73" s="1" t="s">
        <v>465</v>
      </c>
      <c r="F73" s="1" t="n">
        <v>52000000</v>
      </c>
      <c r="G73" s="1" t="n">
        <v>40857143</v>
      </c>
      <c r="H73" s="1" t="s">
        <v>469</v>
      </c>
    </row>
    <row r="74" customFormat="false" ht="15" hidden="false" customHeight="false" outlineLevel="0" collapsed="false">
      <c r="A74" s="1" t="s">
        <v>467</v>
      </c>
      <c r="B74" s="1" t="s">
        <v>468</v>
      </c>
      <c r="C74" s="1" t="s">
        <v>76</v>
      </c>
      <c r="D74" s="1" t="n">
        <v>0.069</v>
      </c>
      <c r="E74" s="1" t="s">
        <v>465</v>
      </c>
      <c r="F74" s="1" t="n">
        <v>52000000</v>
      </c>
      <c r="G74" s="1" t="n">
        <v>40238095</v>
      </c>
      <c r="H74" s="1" t="s">
        <v>469</v>
      </c>
    </row>
    <row r="75" customFormat="false" ht="15" hidden="false" customHeight="false" outlineLevel="0" collapsed="false">
      <c r="A75" s="1" t="s">
        <v>467</v>
      </c>
      <c r="B75" s="1" t="s">
        <v>468</v>
      </c>
      <c r="C75" s="1" t="s">
        <v>77</v>
      </c>
      <c r="D75" s="1" t="n">
        <v>0.069</v>
      </c>
      <c r="E75" s="1" t="s">
        <v>465</v>
      </c>
      <c r="F75" s="1" t="n">
        <v>52000000</v>
      </c>
      <c r="G75" s="1" t="n">
        <v>39619048</v>
      </c>
      <c r="H75" s="1" t="s">
        <v>469</v>
      </c>
    </row>
    <row r="76" customFormat="false" ht="15" hidden="false" customHeight="false" outlineLevel="0" collapsed="false">
      <c r="A76" s="1" t="s">
        <v>467</v>
      </c>
      <c r="B76" s="1" t="s">
        <v>468</v>
      </c>
      <c r="C76" s="1" t="s">
        <v>78</v>
      </c>
      <c r="D76" s="1" t="n">
        <v>0.069</v>
      </c>
      <c r="E76" s="1" t="s">
        <v>465</v>
      </c>
      <c r="F76" s="1" t="n">
        <v>52000000</v>
      </c>
      <c r="G76" s="1" t="n">
        <v>39000000</v>
      </c>
      <c r="H76" s="1" t="s">
        <v>469</v>
      </c>
    </row>
    <row r="77" customFormat="false" ht="15" hidden="false" customHeight="false" outlineLevel="0" collapsed="false">
      <c r="A77" s="1" t="s">
        <v>467</v>
      </c>
      <c r="B77" s="1" t="s">
        <v>468</v>
      </c>
      <c r="C77" s="1" t="s">
        <v>79</v>
      </c>
      <c r="D77" s="1" t="n">
        <v>0.069</v>
      </c>
      <c r="E77" s="1" t="s">
        <v>465</v>
      </c>
      <c r="F77" s="1" t="n">
        <v>52000000</v>
      </c>
      <c r="G77" s="1" t="n">
        <v>38380952</v>
      </c>
      <c r="H77" s="1" t="s">
        <v>469</v>
      </c>
    </row>
    <row r="78" customFormat="false" ht="15" hidden="false" customHeight="false" outlineLevel="0" collapsed="false">
      <c r="A78" s="1" t="s">
        <v>467</v>
      </c>
      <c r="B78" s="1" t="s">
        <v>468</v>
      </c>
      <c r="C78" s="1" t="s">
        <v>80</v>
      </c>
      <c r="D78" s="1" t="n">
        <v>0.069</v>
      </c>
      <c r="E78" s="1" t="s">
        <v>465</v>
      </c>
      <c r="F78" s="1" t="n">
        <v>52000000</v>
      </c>
      <c r="G78" s="1" t="n">
        <v>37761905</v>
      </c>
      <c r="H78" s="1" t="s">
        <v>469</v>
      </c>
    </row>
    <row r="79" customFormat="false" ht="15" hidden="false" customHeight="false" outlineLevel="0" collapsed="false">
      <c r="A79" s="1" t="s">
        <v>467</v>
      </c>
      <c r="B79" s="1" t="s">
        <v>468</v>
      </c>
      <c r="C79" s="1" t="s">
        <v>81</v>
      </c>
      <c r="D79" s="1" t="n">
        <v>0.069</v>
      </c>
      <c r="E79" s="1" t="s">
        <v>465</v>
      </c>
      <c r="F79" s="1" t="n">
        <v>52000000</v>
      </c>
      <c r="G79" s="1" t="n">
        <v>37142857</v>
      </c>
      <c r="H79" s="1" t="s">
        <v>469</v>
      </c>
    </row>
    <row r="80" customFormat="false" ht="15" hidden="false" customHeight="false" outlineLevel="0" collapsed="false">
      <c r="A80" s="1" t="s">
        <v>467</v>
      </c>
      <c r="B80" s="1" t="s">
        <v>468</v>
      </c>
      <c r="C80" s="1" t="s">
        <v>82</v>
      </c>
      <c r="D80" s="1" t="n">
        <v>0.069</v>
      </c>
      <c r="E80" s="1" t="s">
        <v>465</v>
      </c>
      <c r="F80" s="1" t="n">
        <v>52000000</v>
      </c>
      <c r="G80" s="1" t="n">
        <v>36523810</v>
      </c>
      <c r="H80" s="1" t="s">
        <v>469</v>
      </c>
    </row>
    <row r="81" customFormat="false" ht="15" hidden="false" customHeight="false" outlineLevel="0" collapsed="false">
      <c r="A81" s="1" t="s">
        <v>467</v>
      </c>
      <c r="B81" s="1" t="s">
        <v>468</v>
      </c>
      <c r="C81" s="1" t="s">
        <v>83</v>
      </c>
      <c r="D81" s="1" t="n">
        <v>0.069</v>
      </c>
      <c r="E81" s="1" t="s">
        <v>465</v>
      </c>
      <c r="F81" s="1" t="n">
        <v>52000000</v>
      </c>
      <c r="G81" s="1" t="n">
        <v>35904762</v>
      </c>
      <c r="H81" s="1" t="s">
        <v>469</v>
      </c>
    </row>
    <row r="82" customFormat="false" ht="15" hidden="false" customHeight="false" outlineLevel="0" collapsed="false">
      <c r="A82" s="1" t="s">
        <v>467</v>
      </c>
      <c r="B82" s="1" t="s">
        <v>468</v>
      </c>
      <c r="C82" s="1" t="s">
        <v>84</v>
      </c>
      <c r="D82" s="1" t="n">
        <v>0.069</v>
      </c>
      <c r="E82" s="1" t="s">
        <v>465</v>
      </c>
      <c r="F82" s="1" t="n">
        <v>52000000</v>
      </c>
      <c r="G82" s="1" t="n">
        <v>35285714</v>
      </c>
      <c r="H82" s="1" t="s">
        <v>469</v>
      </c>
    </row>
    <row r="83" customFormat="false" ht="15" hidden="false" customHeight="false" outlineLevel="0" collapsed="false">
      <c r="A83" s="1" t="s">
        <v>467</v>
      </c>
      <c r="B83" s="1" t="s">
        <v>468</v>
      </c>
      <c r="C83" s="1" t="s">
        <v>85</v>
      </c>
      <c r="D83" s="1" t="n">
        <v>0.069</v>
      </c>
      <c r="E83" s="1" t="s">
        <v>465</v>
      </c>
      <c r="F83" s="1" t="n">
        <v>52000000</v>
      </c>
      <c r="G83" s="1" t="n">
        <v>34666667</v>
      </c>
      <c r="H83" s="1" t="s">
        <v>469</v>
      </c>
    </row>
    <row r="84" customFormat="false" ht="15" hidden="false" customHeight="false" outlineLevel="0" collapsed="false">
      <c r="A84" s="1" t="s">
        <v>467</v>
      </c>
      <c r="B84" s="1" t="s">
        <v>468</v>
      </c>
      <c r="C84" s="1" t="s">
        <v>86</v>
      </c>
      <c r="D84" s="1" t="n">
        <v>0.069</v>
      </c>
      <c r="E84" s="1" t="s">
        <v>465</v>
      </c>
      <c r="F84" s="1" t="n">
        <v>52000000</v>
      </c>
      <c r="G84" s="1" t="n">
        <v>34047619</v>
      </c>
      <c r="H84" s="1" t="s">
        <v>469</v>
      </c>
    </row>
    <row r="85" customFormat="false" ht="15" hidden="false" customHeight="false" outlineLevel="0" collapsed="false">
      <c r="A85" s="1" t="s">
        <v>467</v>
      </c>
      <c r="B85" s="1" t="s">
        <v>468</v>
      </c>
      <c r="C85" s="1" t="s">
        <v>87</v>
      </c>
      <c r="D85" s="1" t="n">
        <v>0.069</v>
      </c>
      <c r="E85" s="1" t="s">
        <v>465</v>
      </c>
      <c r="F85" s="1" t="n">
        <v>52000000</v>
      </c>
      <c r="G85" s="1" t="n">
        <v>33428571</v>
      </c>
      <c r="H85" s="1" t="s">
        <v>469</v>
      </c>
    </row>
    <row r="86" customFormat="false" ht="15" hidden="false" customHeight="false" outlineLevel="0" collapsed="false">
      <c r="A86" s="1" t="s">
        <v>467</v>
      </c>
      <c r="B86" s="1" t="s">
        <v>468</v>
      </c>
      <c r="C86" s="1" t="s">
        <v>88</v>
      </c>
      <c r="D86" s="1" t="n">
        <v>0.069</v>
      </c>
      <c r="E86" s="1" t="s">
        <v>465</v>
      </c>
      <c r="F86" s="1" t="n">
        <v>52000000</v>
      </c>
      <c r="G86" s="1" t="n">
        <v>32809524</v>
      </c>
      <c r="H86" s="1" t="s">
        <v>469</v>
      </c>
    </row>
    <row r="87" customFormat="false" ht="15" hidden="false" customHeight="false" outlineLevel="0" collapsed="false">
      <c r="A87" s="1" t="s">
        <v>467</v>
      </c>
      <c r="B87" s="1" t="s">
        <v>468</v>
      </c>
      <c r="C87" s="1" t="s">
        <v>89</v>
      </c>
      <c r="D87" s="1" t="n">
        <v>0.069</v>
      </c>
      <c r="E87" s="1" t="s">
        <v>465</v>
      </c>
      <c r="F87" s="1" t="n">
        <v>52000000</v>
      </c>
      <c r="G87" s="1" t="n">
        <v>32190476</v>
      </c>
      <c r="H87" s="1" t="s">
        <v>469</v>
      </c>
    </row>
    <row r="88" customFormat="false" ht="15" hidden="false" customHeight="false" outlineLevel="0" collapsed="false">
      <c r="A88" s="1" t="s">
        <v>467</v>
      </c>
      <c r="B88" s="1" t="s">
        <v>468</v>
      </c>
      <c r="C88" s="1" t="s">
        <v>90</v>
      </c>
      <c r="D88" s="1" t="n">
        <v>0.069</v>
      </c>
      <c r="E88" s="1" t="s">
        <v>465</v>
      </c>
      <c r="F88" s="1" t="n">
        <v>52000000</v>
      </c>
      <c r="G88" s="1" t="n">
        <v>31571429</v>
      </c>
      <c r="H88" s="1" t="s">
        <v>469</v>
      </c>
    </row>
    <row r="89" customFormat="false" ht="15" hidden="false" customHeight="false" outlineLevel="0" collapsed="false">
      <c r="A89" s="1" t="s">
        <v>467</v>
      </c>
      <c r="B89" s="1" t="s">
        <v>468</v>
      </c>
      <c r="C89" s="1" t="s">
        <v>91</v>
      </c>
      <c r="D89" s="1" t="n">
        <v>0.069</v>
      </c>
      <c r="E89" s="1" t="s">
        <v>465</v>
      </c>
      <c r="F89" s="1" t="n">
        <v>52000000</v>
      </c>
      <c r="G89" s="1" t="n">
        <v>30952381</v>
      </c>
      <c r="H89" s="1" t="s">
        <v>469</v>
      </c>
    </row>
    <row r="90" customFormat="false" ht="15" hidden="false" customHeight="false" outlineLevel="0" collapsed="false">
      <c r="A90" s="1" t="s">
        <v>467</v>
      </c>
      <c r="B90" s="1" t="s">
        <v>468</v>
      </c>
      <c r="C90" s="1" t="s">
        <v>92</v>
      </c>
      <c r="D90" s="1" t="n">
        <v>0.069</v>
      </c>
      <c r="E90" s="1" t="s">
        <v>465</v>
      </c>
      <c r="F90" s="1" t="n">
        <v>52000000</v>
      </c>
      <c r="G90" s="1" t="n">
        <v>30333333</v>
      </c>
      <c r="H90" s="1" t="s">
        <v>469</v>
      </c>
    </row>
    <row r="91" customFormat="false" ht="15" hidden="false" customHeight="false" outlineLevel="0" collapsed="false">
      <c r="A91" s="1" t="s">
        <v>467</v>
      </c>
      <c r="B91" s="1" t="s">
        <v>468</v>
      </c>
      <c r="C91" s="1" t="s">
        <v>93</v>
      </c>
      <c r="D91" s="1" t="n">
        <v>0.069</v>
      </c>
      <c r="E91" s="1" t="s">
        <v>465</v>
      </c>
      <c r="F91" s="1" t="n">
        <v>52000000</v>
      </c>
      <c r="G91" s="1" t="n">
        <v>29714286</v>
      </c>
      <c r="H91" s="1" t="s">
        <v>469</v>
      </c>
    </row>
    <row r="92" customFormat="false" ht="15" hidden="false" customHeight="false" outlineLevel="0" collapsed="false">
      <c r="A92" s="1" t="s">
        <v>467</v>
      </c>
      <c r="B92" s="1" t="s">
        <v>468</v>
      </c>
      <c r="C92" s="1" t="s">
        <v>94</v>
      </c>
      <c r="D92" s="1" t="n">
        <v>0.069</v>
      </c>
      <c r="E92" s="1" t="s">
        <v>465</v>
      </c>
      <c r="F92" s="1" t="n">
        <v>52000000</v>
      </c>
      <c r="G92" s="1" t="n">
        <v>29095238</v>
      </c>
      <c r="H92" s="1" t="s">
        <v>469</v>
      </c>
    </row>
    <row r="93" customFormat="false" ht="15" hidden="false" customHeight="false" outlineLevel="0" collapsed="false">
      <c r="A93" s="1" t="s">
        <v>467</v>
      </c>
      <c r="B93" s="1" t="s">
        <v>468</v>
      </c>
      <c r="C93" s="1" t="s">
        <v>95</v>
      </c>
      <c r="D93" s="1" t="n">
        <v>0.069</v>
      </c>
      <c r="E93" s="1" t="s">
        <v>465</v>
      </c>
      <c r="F93" s="1" t="n">
        <v>52000000</v>
      </c>
      <c r="G93" s="1" t="n">
        <v>28476190</v>
      </c>
      <c r="H93" s="1" t="s">
        <v>469</v>
      </c>
    </row>
    <row r="94" customFormat="false" ht="15" hidden="false" customHeight="false" outlineLevel="0" collapsed="false">
      <c r="A94" s="1" t="s">
        <v>467</v>
      </c>
      <c r="B94" s="1" t="s">
        <v>468</v>
      </c>
      <c r="C94" s="1" t="s">
        <v>96</v>
      </c>
      <c r="D94" s="1" t="n">
        <v>0.069</v>
      </c>
      <c r="E94" s="1" t="s">
        <v>465</v>
      </c>
      <c r="F94" s="1" t="n">
        <v>52000000</v>
      </c>
      <c r="G94" s="1" t="n">
        <v>27857143</v>
      </c>
      <c r="H94" s="1" t="s">
        <v>469</v>
      </c>
    </row>
    <row r="95" customFormat="false" ht="15" hidden="false" customHeight="false" outlineLevel="0" collapsed="false">
      <c r="A95" s="1" t="s">
        <v>467</v>
      </c>
      <c r="B95" s="1" t="s">
        <v>468</v>
      </c>
      <c r="C95" s="1" t="s">
        <v>97</v>
      </c>
      <c r="D95" s="1" t="n">
        <v>0.069</v>
      </c>
      <c r="E95" s="1" t="s">
        <v>465</v>
      </c>
      <c r="F95" s="1" t="n">
        <v>52000000</v>
      </c>
      <c r="G95" s="1" t="n">
        <v>27238095</v>
      </c>
      <c r="H95" s="1" t="s">
        <v>469</v>
      </c>
    </row>
    <row r="96" customFormat="false" ht="15" hidden="false" customHeight="false" outlineLevel="0" collapsed="false">
      <c r="A96" s="1" t="s">
        <v>467</v>
      </c>
      <c r="B96" s="1" t="s">
        <v>468</v>
      </c>
      <c r="C96" s="1" t="s">
        <v>98</v>
      </c>
      <c r="D96" s="1" t="n">
        <v>0.069</v>
      </c>
      <c r="E96" s="1" t="s">
        <v>465</v>
      </c>
      <c r="F96" s="1" t="n">
        <v>52000000</v>
      </c>
      <c r="G96" s="1" t="n">
        <v>26619048</v>
      </c>
      <c r="H96" s="1" t="s">
        <v>469</v>
      </c>
    </row>
    <row r="97" customFormat="false" ht="15" hidden="false" customHeight="false" outlineLevel="0" collapsed="false">
      <c r="A97" s="1" t="s">
        <v>467</v>
      </c>
      <c r="B97" s="1" t="s">
        <v>468</v>
      </c>
      <c r="C97" s="1" t="s">
        <v>99</v>
      </c>
      <c r="D97" s="1" t="n">
        <v>0.069</v>
      </c>
      <c r="E97" s="1" t="s">
        <v>465</v>
      </c>
      <c r="F97" s="1" t="n">
        <v>52000000</v>
      </c>
      <c r="G97" s="1" t="n">
        <v>26000000</v>
      </c>
      <c r="H97" s="1" t="s">
        <v>469</v>
      </c>
    </row>
    <row r="98" customFormat="false" ht="15" hidden="false" customHeight="false" outlineLevel="0" collapsed="false">
      <c r="A98" s="1" t="s">
        <v>470</v>
      </c>
      <c r="B98" s="1" t="s">
        <v>471</v>
      </c>
      <c r="C98" s="1" t="s">
        <v>51</v>
      </c>
      <c r="D98" s="1" t="n">
        <v>0.058</v>
      </c>
      <c r="E98" s="1" t="s">
        <v>472</v>
      </c>
      <c r="F98" s="1" t="n">
        <v>104000000</v>
      </c>
      <c r="G98" s="1" t="n">
        <v>104000000</v>
      </c>
      <c r="H98" s="1" t="s">
        <v>473</v>
      </c>
    </row>
    <row r="99" customFormat="false" ht="15" hidden="false" customHeight="false" outlineLevel="0" collapsed="false">
      <c r="A99" s="1" t="s">
        <v>470</v>
      </c>
      <c r="B99" s="1" t="s">
        <v>471</v>
      </c>
      <c r="C99" s="1" t="s">
        <v>53</v>
      </c>
      <c r="D99" s="1" t="n">
        <v>0.058</v>
      </c>
      <c r="E99" s="1" t="s">
        <v>472</v>
      </c>
      <c r="F99" s="1" t="n">
        <v>104000000</v>
      </c>
      <c r="G99" s="1" t="n">
        <v>104000000</v>
      </c>
      <c r="H99" s="1" t="s">
        <v>473</v>
      </c>
    </row>
    <row r="100" customFormat="false" ht="15" hidden="false" customHeight="false" outlineLevel="0" collapsed="false">
      <c r="A100" s="1" t="s">
        <v>470</v>
      </c>
      <c r="B100" s="1" t="s">
        <v>471</v>
      </c>
      <c r="C100" s="1" t="s">
        <v>54</v>
      </c>
      <c r="D100" s="1" t="n">
        <v>0.058</v>
      </c>
      <c r="E100" s="1" t="s">
        <v>472</v>
      </c>
      <c r="F100" s="1" t="n">
        <v>104000000</v>
      </c>
      <c r="G100" s="1" t="n">
        <v>104000000</v>
      </c>
      <c r="H100" s="1" t="s">
        <v>473</v>
      </c>
    </row>
    <row r="101" customFormat="false" ht="15" hidden="false" customHeight="false" outlineLevel="0" collapsed="false">
      <c r="A101" s="1" t="s">
        <v>470</v>
      </c>
      <c r="B101" s="1" t="s">
        <v>471</v>
      </c>
      <c r="C101" s="1" t="s">
        <v>55</v>
      </c>
      <c r="D101" s="1" t="n">
        <v>0.058</v>
      </c>
      <c r="E101" s="1" t="s">
        <v>472</v>
      </c>
      <c r="F101" s="1" t="n">
        <v>104000000</v>
      </c>
      <c r="G101" s="1" t="n">
        <v>104000000</v>
      </c>
      <c r="H101" s="1" t="s">
        <v>473</v>
      </c>
    </row>
    <row r="102" customFormat="false" ht="15" hidden="false" customHeight="false" outlineLevel="0" collapsed="false">
      <c r="A102" s="1" t="s">
        <v>470</v>
      </c>
      <c r="B102" s="1" t="s">
        <v>471</v>
      </c>
      <c r="C102" s="1" t="s">
        <v>56</v>
      </c>
      <c r="D102" s="1" t="n">
        <v>0.058</v>
      </c>
      <c r="E102" s="1" t="s">
        <v>472</v>
      </c>
      <c r="F102" s="1" t="n">
        <v>104000000</v>
      </c>
      <c r="G102" s="1" t="n">
        <v>104000000</v>
      </c>
      <c r="H102" s="1" t="s">
        <v>473</v>
      </c>
    </row>
    <row r="103" customFormat="false" ht="15" hidden="false" customHeight="false" outlineLevel="0" collapsed="false">
      <c r="A103" s="1" t="s">
        <v>470</v>
      </c>
      <c r="B103" s="1" t="s">
        <v>471</v>
      </c>
      <c r="C103" s="1" t="s">
        <v>57</v>
      </c>
      <c r="D103" s="1" t="n">
        <v>0.058</v>
      </c>
      <c r="E103" s="1" t="s">
        <v>472</v>
      </c>
      <c r="F103" s="1" t="n">
        <v>104000000</v>
      </c>
      <c r="G103" s="1" t="n">
        <v>104000000</v>
      </c>
      <c r="H103" s="1" t="s">
        <v>473</v>
      </c>
    </row>
    <row r="104" customFormat="false" ht="15" hidden="false" customHeight="false" outlineLevel="0" collapsed="false">
      <c r="A104" s="1" t="s">
        <v>470</v>
      </c>
      <c r="B104" s="1" t="s">
        <v>471</v>
      </c>
      <c r="C104" s="1" t="s">
        <v>58</v>
      </c>
      <c r="D104" s="1" t="n">
        <v>0.058</v>
      </c>
      <c r="E104" s="1" t="s">
        <v>472</v>
      </c>
      <c r="F104" s="1" t="n">
        <v>104000000</v>
      </c>
      <c r="G104" s="1" t="n">
        <v>104000000</v>
      </c>
      <c r="H104" s="1" t="s">
        <v>473</v>
      </c>
    </row>
    <row r="105" customFormat="false" ht="15" hidden="false" customHeight="false" outlineLevel="0" collapsed="false">
      <c r="A105" s="1" t="s">
        <v>470</v>
      </c>
      <c r="B105" s="1" t="s">
        <v>471</v>
      </c>
      <c r="C105" s="1" t="s">
        <v>59</v>
      </c>
      <c r="D105" s="1" t="n">
        <v>0.058</v>
      </c>
      <c r="E105" s="1" t="s">
        <v>472</v>
      </c>
      <c r="F105" s="1" t="n">
        <v>104000000</v>
      </c>
      <c r="G105" s="1" t="n">
        <v>104000000</v>
      </c>
      <c r="H105" s="1" t="s">
        <v>473</v>
      </c>
    </row>
    <row r="106" customFormat="false" ht="15" hidden="false" customHeight="false" outlineLevel="0" collapsed="false">
      <c r="A106" s="1" t="s">
        <v>470</v>
      </c>
      <c r="B106" s="1" t="s">
        <v>471</v>
      </c>
      <c r="C106" s="1" t="s">
        <v>60</v>
      </c>
      <c r="D106" s="1" t="n">
        <v>0.058</v>
      </c>
      <c r="E106" s="1" t="s">
        <v>472</v>
      </c>
      <c r="F106" s="1" t="n">
        <v>104000000</v>
      </c>
      <c r="G106" s="1" t="n">
        <v>104000000</v>
      </c>
      <c r="H106" s="1" t="s">
        <v>473</v>
      </c>
    </row>
    <row r="107" customFormat="false" ht="15" hidden="false" customHeight="false" outlineLevel="0" collapsed="false">
      <c r="A107" s="1" t="s">
        <v>470</v>
      </c>
      <c r="B107" s="1" t="s">
        <v>471</v>
      </c>
      <c r="C107" s="1" t="s">
        <v>61</v>
      </c>
      <c r="D107" s="1" t="n">
        <v>0.058</v>
      </c>
      <c r="E107" s="1" t="s">
        <v>472</v>
      </c>
      <c r="F107" s="1" t="n">
        <v>104000000</v>
      </c>
      <c r="G107" s="1" t="n">
        <v>104000000</v>
      </c>
      <c r="H107" s="1" t="s">
        <v>473</v>
      </c>
    </row>
    <row r="108" customFormat="false" ht="15" hidden="false" customHeight="false" outlineLevel="0" collapsed="false">
      <c r="A108" s="1" t="s">
        <v>470</v>
      </c>
      <c r="B108" s="1" t="s">
        <v>471</v>
      </c>
      <c r="C108" s="1" t="s">
        <v>62</v>
      </c>
      <c r="D108" s="1" t="n">
        <v>0.058</v>
      </c>
      <c r="E108" s="1" t="s">
        <v>472</v>
      </c>
      <c r="F108" s="1" t="n">
        <v>104000000</v>
      </c>
      <c r="G108" s="1" t="n">
        <v>104000000</v>
      </c>
      <c r="H108" s="1" t="s">
        <v>473</v>
      </c>
    </row>
    <row r="109" customFormat="false" ht="15" hidden="false" customHeight="false" outlineLevel="0" collapsed="false">
      <c r="A109" s="1" t="s">
        <v>470</v>
      </c>
      <c r="B109" s="1" t="s">
        <v>471</v>
      </c>
      <c r="C109" s="1" t="s">
        <v>63</v>
      </c>
      <c r="D109" s="1" t="n">
        <v>0.058</v>
      </c>
      <c r="E109" s="1" t="s">
        <v>472</v>
      </c>
      <c r="F109" s="1" t="n">
        <v>104000000</v>
      </c>
      <c r="G109" s="1" t="n">
        <v>104000000</v>
      </c>
      <c r="H109" s="1" t="s">
        <v>473</v>
      </c>
    </row>
    <row r="110" customFormat="false" ht="15" hidden="false" customHeight="false" outlineLevel="0" collapsed="false">
      <c r="A110" s="1" t="s">
        <v>470</v>
      </c>
      <c r="B110" s="1" t="s">
        <v>471</v>
      </c>
      <c r="C110" s="1" t="s">
        <v>64</v>
      </c>
      <c r="D110" s="1" t="n">
        <v>0.058</v>
      </c>
      <c r="E110" s="1" t="s">
        <v>472</v>
      </c>
      <c r="F110" s="1" t="n">
        <v>104000000</v>
      </c>
      <c r="G110" s="1" t="n">
        <v>104000000</v>
      </c>
      <c r="H110" s="1" t="s">
        <v>473</v>
      </c>
    </row>
    <row r="111" customFormat="false" ht="15" hidden="false" customHeight="false" outlineLevel="0" collapsed="false">
      <c r="A111" s="1" t="s">
        <v>470</v>
      </c>
      <c r="B111" s="1" t="s">
        <v>471</v>
      </c>
      <c r="C111" s="1" t="s">
        <v>65</v>
      </c>
      <c r="D111" s="1" t="n">
        <v>0.058</v>
      </c>
      <c r="E111" s="1" t="s">
        <v>472</v>
      </c>
      <c r="F111" s="1" t="n">
        <v>104000000</v>
      </c>
      <c r="G111" s="1" t="n">
        <v>104000000</v>
      </c>
      <c r="H111" s="1" t="s">
        <v>473</v>
      </c>
    </row>
    <row r="112" customFormat="false" ht="15" hidden="false" customHeight="false" outlineLevel="0" collapsed="false">
      <c r="A112" s="1" t="s">
        <v>470</v>
      </c>
      <c r="B112" s="1" t="s">
        <v>471</v>
      </c>
      <c r="C112" s="1" t="s">
        <v>66</v>
      </c>
      <c r="D112" s="1" t="n">
        <v>0.058</v>
      </c>
      <c r="E112" s="1" t="s">
        <v>472</v>
      </c>
      <c r="F112" s="1" t="n">
        <v>104000000</v>
      </c>
      <c r="G112" s="1" t="n">
        <v>104000000</v>
      </c>
      <c r="H112" s="1" t="s">
        <v>473</v>
      </c>
    </row>
    <row r="113" customFormat="false" ht="15" hidden="false" customHeight="false" outlineLevel="0" collapsed="false">
      <c r="A113" s="1" t="s">
        <v>470</v>
      </c>
      <c r="B113" s="1" t="s">
        <v>471</v>
      </c>
      <c r="C113" s="1" t="s">
        <v>67</v>
      </c>
      <c r="D113" s="1" t="n">
        <v>0.058</v>
      </c>
      <c r="E113" s="1" t="s">
        <v>472</v>
      </c>
      <c r="F113" s="1" t="n">
        <v>104000000</v>
      </c>
      <c r="G113" s="1" t="n">
        <v>104000000</v>
      </c>
      <c r="H113" s="1" t="s">
        <v>473</v>
      </c>
    </row>
    <row r="114" customFormat="false" ht="15" hidden="false" customHeight="false" outlineLevel="0" collapsed="false">
      <c r="A114" s="1" t="s">
        <v>470</v>
      </c>
      <c r="B114" s="1" t="s">
        <v>471</v>
      </c>
      <c r="C114" s="1" t="s">
        <v>68</v>
      </c>
      <c r="D114" s="1" t="n">
        <v>0.058</v>
      </c>
      <c r="E114" s="1" t="s">
        <v>472</v>
      </c>
      <c r="F114" s="1" t="n">
        <v>104000000</v>
      </c>
      <c r="G114" s="1" t="n">
        <v>104000000</v>
      </c>
      <c r="H114" s="1" t="s">
        <v>473</v>
      </c>
    </row>
    <row r="115" customFormat="false" ht="15" hidden="false" customHeight="false" outlineLevel="0" collapsed="false">
      <c r="A115" s="1" t="s">
        <v>470</v>
      </c>
      <c r="B115" s="1" t="s">
        <v>471</v>
      </c>
      <c r="C115" s="1" t="s">
        <v>69</v>
      </c>
      <c r="D115" s="1" t="n">
        <v>0.058</v>
      </c>
      <c r="E115" s="1" t="s">
        <v>472</v>
      </c>
      <c r="F115" s="1" t="n">
        <v>104000000</v>
      </c>
      <c r="G115" s="1" t="n">
        <v>104000000</v>
      </c>
      <c r="H115" s="1" t="s">
        <v>473</v>
      </c>
    </row>
    <row r="116" customFormat="false" ht="15" hidden="false" customHeight="false" outlineLevel="0" collapsed="false">
      <c r="A116" s="1" t="s">
        <v>470</v>
      </c>
      <c r="B116" s="1" t="s">
        <v>471</v>
      </c>
      <c r="C116" s="1" t="s">
        <v>70</v>
      </c>
      <c r="D116" s="1" t="n">
        <v>0.058</v>
      </c>
      <c r="E116" s="1" t="s">
        <v>472</v>
      </c>
      <c r="F116" s="1" t="n">
        <v>104000000</v>
      </c>
      <c r="G116" s="1" t="n">
        <v>104000000</v>
      </c>
      <c r="H116" s="1" t="s">
        <v>473</v>
      </c>
    </row>
    <row r="117" customFormat="false" ht="15" hidden="false" customHeight="false" outlineLevel="0" collapsed="false">
      <c r="A117" s="1" t="s">
        <v>470</v>
      </c>
      <c r="B117" s="1" t="s">
        <v>471</v>
      </c>
      <c r="C117" s="1" t="s">
        <v>71</v>
      </c>
      <c r="D117" s="1" t="n">
        <v>0.058</v>
      </c>
      <c r="E117" s="1" t="s">
        <v>472</v>
      </c>
      <c r="F117" s="1" t="n">
        <v>104000000</v>
      </c>
      <c r="G117" s="1" t="n">
        <v>104000000</v>
      </c>
      <c r="H117" s="1" t="s">
        <v>473</v>
      </c>
    </row>
    <row r="118" customFormat="false" ht="15" hidden="false" customHeight="false" outlineLevel="0" collapsed="false">
      <c r="A118" s="1" t="s">
        <v>470</v>
      </c>
      <c r="B118" s="1" t="s">
        <v>471</v>
      </c>
      <c r="C118" s="1" t="s">
        <v>72</v>
      </c>
      <c r="D118" s="1" t="n">
        <v>0.058</v>
      </c>
      <c r="E118" s="1" t="s">
        <v>472</v>
      </c>
      <c r="F118" s="1" t="n">
        <v>104000000</v>
      </c>
      <c r="G118" s="1" t="n">
        <v>104000000</v>
      </c>
      <c r="H118" s="1" t="s">
        <v>473</v>
      </c>
    </row>
    <row r="119" customFormat="false" ht="15" hidden="false" customHeight="false" outlineLevel="0" collapsed="false">
      <c r="A119" s="1" t="s">
        <v>470</v>
      </c>
      <c r="B119" s="1" t="s">
        <v>471</v>
      </c>
      <c r="C119" s="1" t="s">
        <v>73</v>
      </c>
      <c r="D119" s="1" t="n">
        <v>0.058</v>
      </c>
      <c r="E119" s="1" t="s">
        <v>472</v>
      </c>
      <c r="F119" s="1" t="n">
        <v>104000000</v>
      </c>
      <c r="G119" s="1" t="n">
        <v>104000000</v>
      </c>
      <c r="H119" s="1" t="s">
        <v>473</v>
      </c>
    </row>
    <row r="120" customFormat="false" ht="15" hidden="false" customHeight="false" outlineLevel="0" collapsed="false">
      <c r="A120" s="1" t="s">
        <v>470</v>
      </c>
      <c r="B120" s="1" t="s">
        <v>471</v>
      </c>
      <c r="C120" s="1" t="s">
        <v>74</v>
      </c>
      <c r="D120" s="1" t="n">
        <v>0.058</v>
      </c>
      <c r="E120" s="1" t="s">
        <v>472</v>
      </c>
      <c r="F120" s="1" t="n">
        <v>104000000</v>
      </c>
      <c r="G120" s="1" t="n">
        <v>104000000</v>
      </c>
      <c r="H120" s="1" t="s">
        <v>473</v>
      </c>
    </row>
    <row r="121" customFormat="false" ht="15" hidden="false" customHeight="false" outlineLevel="0" collapsed="false">
      <c r="A121" s="1" t="s">
        <v>470</v>
      </c>
      <c r="B121" s="1" t="s">
        <v>471</v>
      </c>
      <c r="C121" s="1" t="s">
        <v>75</v>
      </c>
      <c r="D121" s="1" t="n">
        <v>0.058</v>
      </c>
      <c r="E121" s="1" t="s">
        <v>472</v>
      </c>
      <c r="F121" s="1" t="n">
        <v>104000000</v>
      </c>
      <c r="G121" s="1" t="n">
        <v>104000000</v>
      </c>
      <c r="H121" s="1" t="s">
        <v>473</v>
      </c>
    </row>
    <row r="122" customFormat="false" ht="15" hidden="false" customHeight="false" outlineLevel="0" collapsed="false">
      <c r="A122" s="1" t="s">
        <v>470</v>
      </c>
      <c r="B122" s="1" t="s">
        <v>471</v>
      </c>
      <c r="C122" s="1" t="s">
        <v>76</v>
      </c>
      <c r="D122" s="1" t="n">
        <v>0.058</v>
      </c>
      <c r="E122" s="1" t="s">
        <v>472</v>
      </c>
      <c r="F122" s="1" t="n">
        <v>104000000</v>
      </c>
      <c r="G122" s="1" t="n">
        <v>104000000</v>
      </c>
      <c r="H122" s="1" t="s">
        <v>473</v>
      </c>
    </row>
    <row r="123" customFormat="false" ht="15" hidden="false" customHeight="false" outlineLevel="0" collapsed="false">
      <c r="A123" s="1" t="s">
        <v>470</v>
      </c>
      <c r="B123" s="1" t="s">
        <v>471</v>
      </c>
      <c r="C123" s="1" t="s">
        <v>77</v>
      </c>
      <c r="D123" s="1" t="n">
        <v>0.058</v>
      </c>
      <c r="E123" s="1" t="s">
        <v>472</v>
      </c>
      <c r="F123" s="1" t="n">
        <v>104000000</v>
      </c>
      <c r="G123" s="1" t="n">
        <v>104000000</v>
      </c>
      <c r="H123" s="1" t="s">
        <v>473</v>
      </c>
    </row>
    <row r="124" customFormat="false" ht="15" hidden="false" customHeight="false" outlineLevel="0" collapsed="false">
      <c r="A124" s="1" t="s">
        <v>470</v>
      </c>
      <c r="B124" s="1" t="s">
        <v>471</v>
      </c>
      <c r="C124" s="1" t="s">
        <v>78</v>
      </c>
      <c r="D124" s="1" t="n">
        <v>0.058</v>
      </c>
      <c r="E124" s="1" t="s">
        <v>472</v>
      </c>
      <c r="F124" s="1" t="n">
        <v>104000000</v>
      </c>
      <c r="G124" s="1" t="n">
        <v>104000000</v>
      </c>
      <c r="H124" s="1" t="s">
        <v>473</v>
      </c>
    </row>
    <row r="125" customFormat="false" ht="15" hidden="false" customHeight="false" outlineLevel="0" collapsed="false">
      <c r="A125" s="1" t="s">
        <v>470</v>
      </c>
      <c r="B125" s="1" t="s">
        <v>471</v>
      </c>
      <c r="C125" s="1" t="s">
        <v>79</v>
      </c>
      <c r="D125" s="1" t="n">
        <v>0.058</v>
      </c>
      <c r="E125" s="1" t="s">
        <v>472</v>
      </c>
      <c r="F125" s="1" t="n">
        <v>104000000</v>
      </c>
      <c r="G125" s="1" t="n">
        <v>104000000</v>
      </c>
      <c r="H125" s="1" t="s">
        <v>473</v>
      </c>
    </row>
    <row r="126" customFormat="false" ht="15" hidden="false" customHeight="false" outlineLevel="0" collapsed="false">
      <c r="A126" s="1" t="s">
        <v>470</v>
      </c>
      <c r="B126" s="1" t="s">
        <v>471</v>
      </c>
      <c r="C126" s="1" t="s">
        <v>80</v>
      </c>
      <c r="D126" s="1" t="n">
        <v>0.058</v>
      </c>
      <c r="E126" s="1" t="s">
        <v>472</v>
      </c>
      <c r="F126" s="1" t="n">
        <v>104000000</v>
      </c>
      <c r="G126" s="1" t="n">
        <v>104000000</v>
      </c>
      <c r="H126" s="1" t="s">
        <v>473</v>
      </c>
    </row>
    <row r="127" customFormat="false" ht="15" hidden="false" customHeight="false" outlineLevel="0" collapsed="false">
      <c r="A127" s="1" t="s">
        <v>470</v>
      </c>
      <c r="B127" s="1" t="s">
        <v>471</v>
      </c>
      <c r="C127" s="1" t="s">
        <v>81</v>
      </c>
      <c r="D127" s="1" t="n">
        <v>0.058</v>
      </c>
      <c r="E127" s="1" t="s">
        <v>472</v>
      </c>
      <c r="F127" s="1" t="n">
        <v>104000000</v>
      </c>
      <c r="G127" s="1" t="n">
        <v>104000000</v>
      </c>
      <c r="H127" s="1" t="s">
        <v>473</v>
      </c>
    </row>
    <row r="128" customFormat="false" ht="15" hidden="false" customHeight="false" outlineLevel="0" collapsed="false">
      <c r="A128" s="1" t="s">
        <v>470</v>
      </c>
      <c r="B128" s="1" t="s">
        <v>471</v>
      </c>
      <c r="C128" s="1" t="s">
        <v>82</v>
      </c>
      <c r="D128" s="1" t="n">
        <v>0.058</v>
      </c>
      <c r="E128" s="1" t="s">
        <v>472</v>
      </c>
      <c r="F128" s="1" t="n">
        <v>104000000</v>
      </c>
      <c r="G128" s="1" t="n">
        <v>104000000</v>
      </c>
      <c r="H128" s="1" t="s">
        <v>473</v>
      </c>
    </row>
    <row r="129" customFormat="false" ht="15" hidden="false" customHeight="false" outlineLevel="0" collapsed="false">
      <c r="A129" s="1" t="s">
        <v>470</v>
      </c>
      <c r="B129" s="1" t="s">
        <v>471</v>
      </c>
      <c r="C129" s="1" t="s">
        <v>83</v>
      </c>
      <c r="D129" s="1" t="n">
        <v>0.058</v>
      </c>
      <c r="E129" s="1" t="s">
        <v>472</v>
      </c>
      <c r="F129" s="1" t="n">
        <v>104000000</v>
      </c>
      <c r="G129" s="1" t="n">
        <v>104000000</v>
      </c>
      <c r="H129" s="1" t="s">
        <v>473</v>
      </c>
    </row>
    <row r="130" customFormat="false" ht="15" hidden="false" customHeight="false" outlineLevel="0" collapsed="false">
      <c r="A130" s="1" t="s">
        <v>470</v>
      </c>
      <c r="B130" s="1" t="s">
        <v>471</v>
      </c>
      <c r="C130" s="1" t="s">
        <v>84</v>
      </c>
      <c r="D130" s="1" t="n">
        <v>0.058</v>
      </c>
      <c r="E130" s="1" t="s">
        <v>472</v>
      </c>
      <c r="F130" s="1" t="n">
        <v>104000000</v>
      </c>
      <c r="G130" s="1" t="n">
        <v>104000000</v>
      </c>
      <c r="H130" s="1" t="s">
        <v>473</v>
      </c>
    </row>
    <row r="131" customFormat="false" ht="15" hidden="false" customHeight="false" outlineLevel="0" collapsed="false">
      <c r="A131" s="1" t="s">
        <v>470</v>
      </c>
      <c r="B131" s="1" t="s">
        <v>471</v>
      </c>
      <c r="C131" s="1" t="s">
        <v>85</v>
      </c>
      <c r="D131" s="1" t="n">
        <v>0.058</v>
      </c>
      <c r="E131" s="1" t="s">
        <v>472</v>
      </c>
      <c r="F131" s="1" t="n">
        <v>104000000</v>
      </c>
      <c r="G131" s="1" t="n">
        <v>104000000</v>
      </c>
      <c r="H131" s="1" t="s">
        <v>473</v>
      </c>
    </row>
    <row r="132" customFormat="false" ht="15" hidden="false" customHeight="false" outlineLevel="0" collapsed="false">
      <c r="A132" s="1" t="s">
        <v>470</v>
      </c>
      <c r="B132" s="1" t="s">
        <v>471</v>
      </c>
      <c r="C132" s="1" t="s">
        <v>86</v>
      </c>
      <c r="D132" s="1" t="n">
        <v>0.058</v>
      </c>
      <c r="E132" s="1" t="s">
        <v>472</v>
      </c>
      <c r="F132" s="1" t="n">
        <v>104000000</v>
      </c>
      <c r="G132" s="1" t="n">
        <v>104000000</v>
      </c>
      <c r="H132" s="1" t="s">
        <v>473</v>
      </c>
    </row>
    <row r="133" customFormat="false" ht="15" hidden="false" customHeight="false" outlineLevel="0" collapsed="false">
      <c r="A133" s="1" t="s">
        <v>470</v>
      </c>
      <c r="B133" s="1" t="s">
        <v>471</v>
      </c>
      <c r="C133" s="1" t="s">
        <v>87</v>
      </c>
      <c r="D133" s="1" t="n">
        <v>0.058</v>
      </c>
      <c r="E133" s="1" t="s">
        <v>472</v>
      </c>
      <c r="F133" s="1" t="n">
        <v>104000000</v>
      </c>
      <c r="G133" s="1" t="n">
        <v>104000000</v>
      </c>
      <c r="H133" s="1" t="s">
        <v>473</v>
      </c>
    </row>
    <row r="134" customFormat="false" ht="15" hidden="false" customHeight="false" outlineLevel="0" collapsed="false">
      <c r="A134" s="1" t="s">
        <v>470</v>
      </c>
      <c r="B134" s="1" t="s">
        <v>471</v>
      </c>
      <c r="C134" s="1" t="s">
        <v>88</v>
      </c>
      <c r="D134" s="1" t="n">
        <v>0.058</v>
      </c>
      <c r="E134" s="1" t="s">
        <v>472</v>
      </c>
      <c r="F134" s="1" t="n">
        <v>104000000</v>
      </c>
      <c r="G134" s="1" t="n">
        <v>104000000</v>
      </c>
      <c r="H134" s="1" t="s">
        <v>473</v>
      </c>
    </row>
    <row r="135" customFormat="false" ht="15" hidden="false" customHeight="false" outlineLevel="0" collapsed="false">
      <c r="A135" s="1" t="s">
        <v>470</v>
      </c>
      <c r="B135" s="1" t="s">
        <v>471</v>
      </c>
      <c r="C135" s="1" t="s">
        <v>89</v>
      </c>
      <c r="D135" s="1" t="n">
        <v>0.058</v>
      </c>
      <c r="E135" s="1" t="s">
        <v>472</v>
      </c>
      <c r="F135" s="1" t="n">
        <v>104000000</v>
      </c>
      <c r="G135" s="1" t="n">
        <v>104000000</v>
      </c>
      <c r="H135" s="1" t="s">
        <v>473</v>
      </c>
    </row>
    <row r="136" customFormat="false" ht="15" hidden="false" customHeight="false" outlineLevel="0" collapsed="false">
      <c r="A136" s="1" t="s">
        <v>470</v>
      </c>
      <c r="B136" s="1" t="s">
        <v>471</v>
      </c>
      <c r="C136" s="1" t="s">
        <v>90</v>
      </c>
      <c r="D136" s="1" t="n">
        <v>0.058</v>
      </c>
      <c r="E136" s="1" t="s">
        <v>472</v>
      </c>
      <c r="F136" s="1" t="n">
        <v>104000000</v>
      </c>
      <c r="G136" s="1" t="n">
        <v>104000000</v>
      </c>
      <c r="H136" s="1" t="s">
        <v>473</v>
      </c>
    </row>
    <row r="137" customFormat="false" ht="15" hidden="false" customHeight="false" outlineLevel="0" collapsed="false">
      <c r="A137" s="1" t="s">
        <v>470</v>
      </c>
      <c r="B137" s="1" t="s">
        <v>471</v>
      </c>
      <c r="C137" s="1" t="s">
        <v>91</v>
      </c>
      <c r="D137" s="1" t="n">
        <v>0.058</v>
      </c>
      <c r="E137" s="1" t="s">
        <v>472</v>
      </c>
      <c r="F137" s="1" t="n">
        <v>104000000</v>
      </c>
      <c r="G137" s="1" t="n">
        <v>104000000</v>
      </c>
      <c r="H137" s="1" t="s">
        <v>473</v>
      </c>
    </row>
    <row r="138" customFormat="false" ht="15" hidden="false" customHeight="false" outlineLevel="0" collapsed="false">
      <c r="A138" s="1" t="s">
        <v>470</v>
      </c>
      <c r="B138" s="1" t="s">
        <v>471</v>
      </c>
      <c r="C138" s="1" t="s">
        <v>92</v>
      </c>
      <c r="D138" s="1" t="n">
        <v>0.058</v>
      </c>
      <c r="E138" s="1" t="s">
        <v>472</v>
      </c>
      <c r="F138" s="1" t="n">
        <v>104000000</v>
      </c>
      <c r="G138" s="1" t="n">
        <v>104000000</v>
      </c>
      <c r="H138" s="1" t="s">
        <v>473</v>
      </c>
    </row>
    <row r="139" customFormat="false" ht="15" hidden="false" customHeight="false" outlineLevel="0" collapsed="false">
      <c r="A139" s="1" t="s">
        <v>470</v>
      </c>
      <c r="B139" s="1" t="s">
        <v>471</v>
      </c>
      <c r="C139" s="1" t="s">
        <v>93</v>
      </c>
      <c r="D139" s="1" t="n">
        <v>0.058</v>
      </c>
      <c r="E139" s="1" t="s">
        <v>472</v>
      </c>
      <c r="F139" s="1" t="n">
        <v>104000000</v>
      </c>
      <c r="G139" s="1" t="n">
        <v>104000000</v>
      </c>
      <c r="H139" s="1" t="s">
        <v>473</v>
      </c>
    </row>
    <row r="140" customFormat="false" ht="15" hidden="false" customHeight="false" outlineLevel="0" collapsed="false">
      <c r="A140" s="1" t="s">
        <v>470</v>
      </c>
      <c r="B140" s="1" t="s">
        <v>471</v>
      </c>
      <c r="C140" s="1" t="s">
        <v>94</v>
      </c>
      <c r="D140" s="1" t="n">
        <v>0.058</v>
      </c>
      <c r="E140" s="1" t="s">
        <v>472</v>
      </c>
      <c r="F140" s="1" t="n">
        <v>104000000</v>
      </c>
      <c r="G140" s="1" t="n">
        <v>104000000</v>
      </c>
      <c r="H140" s="1" t="s">
        <v>473</v>
      </c>
    </row>
    <row r="141" customFormat="false" ht="15" hidden="false" customHeight="false" outlineLevel="0" collapsed="false">
      <c r="A141" s="1" t="s">
        <v>470</v>
      </c>
      <c r="B141" s="1" t="s">
        <v>471</v>
      </c>
      <c r="C141" s="1" t="s">
        <v>95</v>
      </c>
      <c r="D141" s="1" t="n">
        <v>0.058</v>
      </c>
      <c r="E141" s="1" t="s">
        <v>472</v>
      </c>
      <c r="F141" s="1" t="n">
        <v>104000000</v>
      </c>
      <c r="G141" s="1" t="n">
        <v>104000000</v>
      </c>
      <c r="H141" s="1" t="s">
        <v>473</v>
      </c>
    </row>
    <row r="142" customFormat="false" ht="15" hidden="false" customHeight="false" outlineLevel="0" collapsed="false">
      <c r="A142" s="1" t="s">
        <v>470</v>
      </c>
      <c r="B142" s="1" t="s">
        <v>471</v>
      </c>
      <c r="C142" s="1" t="s">
        <v>96</v>
      </c>
      <c r="D142" s="1" t="n">
        <v>0.058</v>
      </c>
      <c r="E142" s="1" t="s">
        <v>472</v>
      </c>
      <c r="F142" s="1" t="n">
        <v>104000000</v>
      </c>
      <c r="G142" s="1" t="n">
        <v>104000000</v>
      </c>
      <c r="H142" s="1" t="s">
        <v>473</v>
      </c>
    </row>
    <row r="143" customFormat="false" ht="15" hidden="false" customHeight="false" outlineLevel="0" collapsed="false">
      <c r="A143" s="1" t="s">
        <v>470</v>
      </c>
      <c r="B143" s="1" t="s">
        <v>471</v>
      </c>
      <c r="C143" s="1" t="s">
        <v>97</v>
      </c>
      <c r="D143" s="1" t="n">
        <v>0.058</v>
      </c>
      <c r="E143" s="1" t="s">
        <v>472</v>
      </c>
      <c r="F143" s="1" t="n">
        <v>104000000</v>
      </c>
      <c r="G143" s="1" t="n">
        <v>104000000</v>
      </c>
      <c r="H143" s="1" t="s">
        <v>473</v>
      </c>
    </row>
    <row r="144" customFormat="false" ht="15" hidden="false" customHeight="false" outlineLevel="0" collapsed="false">
      <c r="A144" s="1" t="s">
        <v>470</v>
      </c>
      <c r="B144" s="1" t="s">
        <v>471</v>
      </c>
      <c r="C144" s="1" t="s">
        <v>98</v>
      </c>
      <c r="D144" s="1" t="n">
        <v>0.058</v>
      </c>
      <c r="E144" s="1" t="s">
        <v>472</v>
      </c>
      <c r="F144" s="1" t="n">
        <v>104000000</v>
      </c>
      <c r="G144" s="1" t="n">
        <v>104000000</v>
      </c>
      <c r="H144" s="1" t="s">
        <v>473</v>
      </c>
    </row>
    <row r="145" customFormat="false" ht="15" hidden="false" customHeight="false" outlineLevel="0" collapsed="false">
      <c r="A145" s="1" t="s">
        <v>470</v>
      </c>
      <c r="B145" s="1" t="s">
        <v>471</v>
      </c>
      <c r="C145" s="1" t="s">
        <v>99</v>
      </c>
      <c r="D145" s="1" t="n">
        <v>0.058</v>
      </c>
      <c r="E145" s="1" t="s">
        <v>472</v>
      </c>
      <c r="F145" s="1" t="n">
        <v>104000000</v>
      </c>
      <c r="G145" s="1" t="n">
        <v>104000000</v>
      </c>
      <c r="H145" s="1" t="s">
        <v>473</v>
      </c>
    </row>
    <row r="146" customFormat="false" ht="15" hidden="false" customHeight="false" outlineLevel="0" collapsed="false">
      <c r="A146" s="1" t="s">
        <v>474</v>
      </c>
      <c r="B146" s="1" t="s">
        <v>475</v>
      </c>
      <c r="C146" s="1" t="s">
        <v>51</v>
      </c>
      <c r="D146" s="1" t="n">
        <v>0.071</v>
      </c>
      <c r="E146" s="1" t="s">
        <v>476</v>
      </c>
      <c r="F146" s="1" t="n">
        <v>26000000</v>
      </c>
      <c r="G146" s="1" t="n">
        <v>0</v>
      </c>
      <c r="H146" s="1" t="s">
        <v>477</v>
      </c>
    </row>
    <row r="147" customFormat="false" ht="15" hidden="false" customHeight="false" outlineLevel="0" collapsed="false">
      <c r="A147" s="1" t="s">
        <v>474</v>
      </c>
      <c r="B147" s="1" t="s">
        <v>475</v>
      </c>
      <c r="C147" s="1" t="s">
        <v>53</v>
      </c>
      <c r="D147" s="1" t="n">
        <v>0.071</v>
      </c>
      <c r="E147" s="1" t="s">
        <v>476</v>
      </c>
      <c r="F147" s="1" t="n">
        <v>26000000</v>
      </c>
      <c r="G147" s="1" t="n">
        <v>0</v>
      </c>
      <c r="H147" s="1" t="s">
        <v>477</v>
      </c>
    </row>
    <row r="148" customFormat="false" ht="15" hidden="false" customHeight="false" outlineLevel="0" collapsed="false">
      <c r="A148" s="1" t="s">
        <v>474</v>
      </c>
      <c r="B148" s="1" t="s">
        <v>475</v>
      </c>
      <c r="C148" s="1" t="s">
        <v>54</v>
      </c>
      <c r="D148" s="1" t="n">
        <v>0.071</v>
      </c>
      <c r="E148" s="1" t="s">
        <v>476</v>
      </c>
      <c r="F148" s="1" t="n">
        <v>26000000</v>
      </c>
      <c r="G148" s="1" t="n">
        <v>0</v>
      </c>
      <c r="H148" s="1" t="s">
        <v>477</v>
      </c>
    </row>
    <row r="149" customFormat="false" ht="15" hidden="false" customHeight="false" outlineLevel="0" collapsed="false">
      <c r="A149" s="1" t="s">
        <v>474</v>
      </c>
      <c r="B149" s="1" t="s">
        <v>475</v>
      </c>
      <c r="C149" s="1" t="s">
        <v>55</v>
      </c>
      <c r="D149" s="1" t="n">
        <v>0.071</v>
      </c>
      <c r="E149" s="1" t="s">
        <v>476</v>
      </c>
      <c r="F149" s="1" t="n">
        <v>26000000</v>
      </c>
      <c r="G149" s="1" t="n">
        <v>0</v>
      </c>
      <c r="H149" s="1" t="s">
        <v>477</v>
      </c>
    </row>
    <row r="150" customFormat="false" ht="15" hidden="false" customHeight="false" outlineLevel="0" collapsed="false">
      <c r="A150" s="1" t="s">
        <v>474</v>
      </c>
      <c r="B150" s="1" t="s">
        <v>475</v>
      </c>
      <c r="C150" s="1" t="s">
        <v>56</v>
      </c>
      <c r="D150" s="1" t="n">
        <v>0.071</v>
      </c>
      <c r="E150" s="1" t="s">
        <v>476</v>
      </c>
      <c r="F150" s="1" t="n">
        <v>26000000</v>
      </c>
      <c r="G150" s="1" t="n">
        <v>0</v>
      </c>
      <c r="H150" s="1" t="s">
        <v>477</v>
      </c>
    </row>
    <row r="151" customFormat="false" ht="15" hidden="false" customHeight="false" outlineLevel="0" collapsed="false">
      <c r="A151" s="1" t="s">
        <v>474</v>
      </c>
      <c r="B151" s="1" t="s">
        <v>475</v>
      </c>
      <c r="C151" s="1" t="s">
        <v>57</v>
      </c>
      <c r="D151" s="1" t="n">
        <v>0.071</v>
      </c>
      <c r="E151" s="1" t="s">
        <v>476</v>
      </c>
      <c r="F151" s="1" t="n">
        <v>26000000</v>
      </c>
      <c r="G151" s="1" t="n">
        <v>0</v>
      </c>
      <c r="H151" s="1" t="s">
        <v>477</v>
      </c>
    </row>
    <row r="152" customFormat="false" ht="15" hidden="false" customHeight="false" outlineLevel="0" collapsed="false">
      <c r="A152" s="1" t="s">
        <v>474</v>
      </c>
      <c r="B152" s="1" t="s">
        <v>475</v>
      </c>
      <c r="C152" s="1" t="s">
        <v>58</v>
      </c>
      <c r="D152" s="1" t="n">
        <v>0.071</v>
      </c>
      <c r="E152" s="1" t="s">
        <v>476</v>
      </c>
      <c r="F152" s="1" t="n">
        <v>26000000</v>
      </c>
      <c r="G152" s="1" t="n">
        <v>0</v>
      </c>
      <c r="H152" s="1" t="s">
        <v>477</v>
      </c>
    </row>
    <row r="153" customFormat="false" ht="15" hidden="false" customHeight="false" outlineLevel="0" collapsed="false">
      <c r="A153" s="1" t="s">
        <v>474</v>
      </c>
      <c r="B153" s="1" t="s">
        <v>475</v>
      </c>
      <c r="C153" s="1" t="s">
        <v>59</v>
      </c>
      <c r="D153" s="1" t="n">
        <v>0.071</v>
      </c>
      <c r="E153" s="1" t="s">
        <v>476</v>
      </c>
      <c r="F153" s="1" t="n">
        <v>26000000</v>
      </c>
      <c r="G153" s="1" t="n">
        <v>0</v>
      </c>
      <c r="H153" s="1" t="s">
        <v>477</v>
      </c>
    </row>
    <row r="154" customFormat="false" ht="15" hidden="false" customHeight="false" outlineLevel="0" collapsed="false">
      <c r="A154" s="1" t="s">
        <v>474</v>
      </c>
      <c r="B154" s="1" t="s">
        <v>475</v>
      </c>
      <c r="C154" s="1" t="s">
        <v>60</v>
      </c>
      <c r="D154" s="1" t="n">
        <v>0.071</v>
      </c>
      <c r="E154" s="1" t="s">
        <v>476</v>
      </c>
      <c r="F154" s="1" t="n">
        <v>26000000</v>
      </c>
      <c r="G154" s="1" t="n">
        <v>0</v>
      </c>
      <c r="H154" s="1" t="s">
        <v>477</v>
      </c>
    </row>
    <row r="155" customFormat="false" ht="15" hidden="false" customHeight="false" outlineLevel="0" collapsed="false">
      <c r="A155" s="1" t="s">
        <v>474</v>
      </c>
      <c r="B155" s="1" t="s">
        <v>475</v>
      </c>
      <c r="C155" s="1" t="s">
        <v>61</v>
      </c>
      <c r="D155" s="1" t="n">
        <v>0.071</v>
      </c>
      <c r="E155" s="1" t="s">
        <v>476</v>
      </c>
      <c r="F155" s="1" t="n">
        <v>26000000</v>
      </c>
      <c r="G155" s="1" t="n">
        <v>0</v>
      </c>
      <c r="H155" s="1" t="s">
        <v>477</v>
      </c>
    </row>
    <row r="156" customFormat="false" ht="15" hidden="false" customHeight="false" outlineLevel="0" collapsed="false">
      <c r="A156" s="1" t="s">
        <v>474</v>
      </c>
      <c r="B156" s="1" t="s">
        <v>475</v>
      </c>
      <c r="C156" s="1" t="s">
        <v>62</v>
      </c>
      <c r="D156" s="1" t="n">
        <v>0.071</v>
      </c>
      <c r="E156" s="1" t="s">
        <v>476</v>
      </c>
      <c r="F156" s="1" t="n">
        <v>26000000</v>
      </c>
      <c r="G156" s="1" t="n">
        <v>0</v>
      </c>
      <c r="H156" s="1" t="s">
        <v>477</v>
      </c>
    </row>
    <row r="157" customFormat="false" ht="15" hidden="false" customHeight="false" outlineLevel="0" collapsed="false">
      <c r="A157" s="1" t="s">
        <v>474</v>
      </c>
      <c r="B157" s="1" t="s">
        <v>475</v>
      </c>
      <c r="C157" s="1" t="s">
        <v>63</v>
      </c>
      <c r="D157" s="1" t="n">
        <v>0.071</v>
      </c>
      <c r="E157" s="1" t="s">
        <v>476</v>
      </c>
      <c r="F157" s="1" t="n">
        <v>26000000</v>
      </c>
      <c r="G157" s="1" t="n">
        <v>0</v>
      </c>
      <c r="H157" s="1" t="s">
        <v>477</v>
      </c>
    </row>
    <row r="158" customFormat="false" ht="15" hidden="false" customHeight="false" outlineLevel="0" collapsed="false">
      <c r="A158" s="1" t="s">
        <v>474</v>
      </c>
      <c r="B158" s="1" t="s">
        <v>475</v>
      </c>
      <c r="C158" s="1" t="s">
        <v>64</v>
      </c>
      <c r="D158" s="1" t="n">
        <v>0.071</v>
      </c>
      <c r="E158" s="1" t="s">
        <v>476</v>
      </c>
      <c r="F158" s="1" t="n">
        <v>26000000</v>
      </c>
      <c r="G158" s="1" t="n">
        <v>0</v>
      </c>
      <c r="H158" s="1" t="s">
        <v>477</v>
      </c>
    </row>
    <row r="159" customFormat="false" ht="15" hidden="false" customHeight="false" outlineLevel="0" collapsed="false">
      <c r="A159" s="1" t="s">
        <v>474</v>
      </c>
      <c r="B159" s="1" t="s">
        <v>475</v>
      </c>
      <c r="C159" s="1" t="s">
        <v>65</v>
      </c>
      <c r="D159" s="1" t="n">
        <v>0.071</v>
      </c>
      <c r="E159" s="1" t="s">
        <v>476</v>
      </c>
      <c r="F159" s="1" t="n">
        <v>26000000</v>
      </c>
      <c r="G159" s="1" t="n">
        <v>0</v>
      </c>
      <c r="H159" s="1" t="s">
        <v>477</v>
      </c>
    </row>
    <row r="160" customFormat="false" ht="15" hidden="false" customHeight="false" outlineLevel="0" collapsed="false">
      <c r="A160" s="1" t="s">
        <v>474</v>
      </c>
      <c r="B160" s="1" t="s">
        <v>475</v>
      </c>
      <c r="C160" s="1" t="s">
        <v>66</v>
      </c>
      <c r="D160" s="1" t="n">
        <v>0.071</v>
      </c>
      <c r="E160" s="1" t="s">
        <v>476</v>
      </c>
      <c r="F160" s="1" t="n">
        <v>26000000</v>
      </c>
      <c r="G160" s="1" t="n">
        <v>0</v>
      </c>
      <c r="H160" s="1" t="s">
        <v>477</v>
      </c>
    </row>
    <row r="161" customFormat="false" ht="15" hidden="false" customHeight="false" outlineLevel="0" collapsed="false">
      <c r="A161" s="1" t="s">
        <v>474</v>
      </c>
      <c r="B161" s="1" t="s">
        <v>475</v>
      </c>
      <c r="C161" s="1" t="s">
        <v>67</v>
      </c>
      <c r="D161" s="1" t="n">
        <v>0.071</v>
      </c>
      <c r="E161" s="1" t="s">
        <v>476</v>
      </c>
      <c r="F161" s="1" t="n">
        <v>26000000</v>
      </c>
      <c r="G161" s="1" t="n">
        <v>5953181</v>
      </c>
      <c r="H161" s="1" t="s">
        <v>477</v>
      </c>
    </row>
    <row r="162" customFormat="false" ht="15" hidden="false" customHeight="false" outlineLevel="0" collapsed="false">
      <c r="A162" s="1" t="s">
        <v>474</v>
      </c>
      <c r="B162" s="1" t="s">
        <v>475</v>
      </c>
      <c r="C162" s="1" t="s">
        <v>68</v>
      </c>
      <c r="D162" s="1" t="n">
        <v>0.071</v>
      </c>
      <c r="E162" s="1" t="s">
        <v>476</v>
      </c>
      <c r="F162" s="1" t="n">
        <v>26000000</v>
      </c>
      <c r="G162" s="1" t="n">
        <v>6796656</v>
      </c>
      <c r="H162" s="1" t="s">
        <v>477</v>
      </c>
    </row>
    <row r="163" customFormat="false" ht="15" hidden="false" customHeight="false" outlineLevel="0" collapsed="false">
      <c r="A163" s="1" t="s">
        <v>474</v>
      </c>
      <c r="B163" s="1" t="s">
        <v>475</v>
      </c>
      <c r="C163" s="1" t="s">
        <v>69</v>
      </c>
      <c r="D163" s="1" t="n">
        <v>0.071</v>
      </c>
      <c r="E163" s="1" t="s">
        <v>476</v>
      </c>
      <c r="F163" s="1" t="n">
        <v>26000000</v>
      </c>
      <c r="G163" s="1" t="n">
        <v>18698989</v>
      </c>
      <c r="H163" s="1" t="s">
        <v>477</v>
      </c>
    </row>
    <row r="164" customFormat="false" ht="15" hidden="false" customHeight="false" outlineLevel="0" collapsed="false">
      <c r="A164" s="1" t="s">
        <v>474</v>
      </c>
      <c r="B164" s="1" t="s">
        <v>475</v>
      </c>
      <c r="C164" s="1" t="s">
        <v>70</v>
      </c>
      <c r="D164" s="1" t="n">
        <v>0.071</v>
      </c>
      <c r="E164" s="1" t="s">
        <v>476</v>
      </c>
      <c r="F164" s="1" t="n">
        <v>26000000</v>
      </c>
      <c r="G164" s="1" t="n">
        <v>12033711</v>
      </c>
      <c r="H164" s="1" t="s">
        <v>477</v>
      </c>
    </row>
    <row r="165" customFormat="false" ht="15" hidden="false" customHeight="false" outlineLevel="0" collapsed="false">
      <c r="A165" s="1" t="s">
        <v>474</v>
      </c>
      <c r="B165" s="1" t="s">
        <v>475</v>
      </c>
      <c r="C165" s="1" t="s">
        <v>71</v>
      </c>
      <c r="D165" s="1" t="n">
        <v>0.071</v>
      </c>
      <c r="E165" s="1" t="s">
        <v>476</v>
      </c>
      <c r="F165" s="1" t="n">
        <v>26000000</v>
      </c>
      <c r="G165" s="1" t="n">
        <v>5840071</v>
      </c>
      <c r="H165" s="1" t="s">
        <v>477</v>
      </c>
    </row>
    <row r="166" customFormat="false" ht="15" hidden="false" customHeight="false" outlineLevel="0" collapsed="false">
      <c r="A166" s="1" t="s">
        <v>474</v>
      </c>
      <c r="B166" s="1" t="s">
        <v>475</v>
      </c>
      <c r="C166" s="1" t="s">
        <v>72</v>
      </c>
      <c r="D166" s="1" t="n">
        <v>0.071</v>
      </c>
      <c r="E166" s="1" t="s">
        <v>476</v>
      </c>
      <c r="F166" s="1" t="n">
        <v>26000000</v>
      </c>
      <c r="G166" s="1" t="n">
        <v>24082239</v>
      </c>
      <c r="H166" s="1" t="s">
        <v>477</v>
      </c>
    </row>
    <row r="167" customFormat="false" ht="15" hidden="false" customHeight="false" outlineLevel="0" collapsed="false">
      <c r="A167" s="1" t="s">
        <v>474</v>
      </c>
      <c r="B167" s="1" t="s">
        <v>475</v>
      </c>
      <c r="C167" s="1" t="s">
        <v>73</v>
      </c>
      <c r="D167" s="1" t="n">
        <v>0.071</v>
      </c>
      <c r="E167" s="1" t="s">
        <v>476</v>
      </c>
      <c r="F167" s="1" t="n">
        <v>26000000</v>
      </c>
      <c r="G167" s="1" t="n">
        <v>10852368</v>
      </c>
      <c r="H167" s="1" t="s">
        <v>477</v>
      </c>
    </row>
    <row r="168" customFormat="false" ht="15" hidden="false" customHeight="false" outlineLevel="0" collapsed="false">
      <c r="A168" s="1" t="s">
        <v>474</v>
      </c>
      <c r="B168" s="1" t="s">
        <v>475</v>
      </c>
      <c r="C168" s="1" t="s">
        <v>74</v>
      </c>
      <c r="D168" s="1" t="n">
        <v>0.071</v>
      </c>
      <c r="E168" s="1" t="s">
        <v>476</v>
      </c>
      <c r="F168" s="1" t="n">
        <v>26000000</v>
      </c>
      <c r="G168" s="1" t="n">
        <v>9063619</v>
      </c>
      <c r="H168" s="1" t="s">
        <v>477</v>
      </c>
    </row>
    <row r="169" customFormat="false" ht="15" hidden="false" customHeight="false" outlineLevel="0" collapsed="false">
      <c r="A169" s="1" t="s">
        <v>474</v>
      </c>
      <c r="B169" s="1" t="s">
        <v>475</v>
      </c>
      <c r="C169" s="1" t="s">
        <v>75</v>
      </c>
      <c r="D169" s="1" t="n">
        <v>0.071</v>
      </c>
      <c r="E169" s="1" t="s">
        <v>476</v>
      </c>
      <c r="F169" s="1" t="n">
        <v>26000000</v>
      </c>
      <c r="G169" s="1" t="n">
        <v>6863863</v>
      </c>
      <c r="H169" s="1" t="s">
        <v>477</v>
      </c>
    </row>
    <row r="170" customFormat="false" ht="15" hidden="false" customHeight="false" outlineLevel="0" collapsed="false">
      <c r="A170" s="1" t="s">
        <v>474</v>
      </c>
      <c r="B170" s="1" t="s">
        <v>475</v>
      </c>
      <c r="C170" s="1" t="s">
        <v>76</v>
      </c>
      <c r="D170" s="1" t="n">
        <v>0.071</v>
      </c>
      <c r="E170" s="1" t="s">
        <v>476</v>
      </c>
      <c r="F170" s="1" t="n">
        <v>26000000</v>
      </c>
      <c r="G170" s="1" t="n">
        <v>15291342</v>
      </c>
      <c r="H170" s="1" t="s">
        <v>477</v>
      </c>
    </row>
    <row r="171" customFormat="false" ht="15" hidden="false" customHeight="false" outlineLevel="0" collapsed="false">
      <c r="A171" s="1" t="s">
        <v>474</v>
      </c>
      <c r="B171" s="1" t="s">
        <v>475</v>
      </c>
      <c r="C171" s="1" t="s">
        <v>77</v>
      </c>
      <c r="D171" s="1" t="n">
        <v>0.071</v>
      </c>
      <c r="E171" s="1" t="s">
        <v>476</v>
      </c>
      <c r="F171" s="1" t="n">
        <v>26000000</v>
      </c>
      <c r="G171" s="1" t="n">
        <v>18044217</v>
      </c>
      <c r="H171" s="1" t="s">
        <v>477</v>
      </c>
    </row>
    <row r="172" customFormat="false" ht="15" hidden="false" customHeight="false" outlineLevel="0" collapsed="false">
      <c r="A172" s="1" t="s">
        <v>474</v>
      </c>
      <c r="B172" s="1" t="s">
        <v>475</v>
      </c>
      <c r="C172" s="1" t="s">
        <v>78</v>
      </c>
      <c r="D172" s="1" t="n">
        <v>0.071</v>
      </c>
      <c r="E172" s="1" t="s">
        <v>476</v>
      </c>
      <c r="F172" s="1" t="n">
        <v>26000000</v>
      </c>
      <c r="G172" s="1" t="n">
        <v>12994551</v>
      </c>
      <c r="H172" s="1" t="s">
        <v>477</v>
      </c>
    </row>
    <row r="173" customFormat="false" ht="15" hidden="false" customHeight="false" outlineLevel="0" collapsed="false">
      <c r="A173" s="1" t="s">
        <v>474</v>
      </c>
      <c r="B173" s="1" t="s">
        <v>475</v>
      </c>
      <c r="C173" s="1" t="s">
        <v>79</v>
      </c>
      <c r="D173" s="1" t="n">
        <v>0.071</v>
      </c>
      <c r="E173" s="1" t="s">
        <v>476</v>
      </c>
      <c r="F173" s="1" t="n">
        <v>26000000</v>
      </c>
      <c r="G173" s="1" t="n">
        <v>14773551</v>
      </c>
      <c r="H173" s="1" t="s">
        <v>477</v>
      </c>
    </row>
    <row r="174" customFormat="false" ht="15" hidden="false" customHeight="false" outlineLevel="0" collapsed="false">
      <c r="A174" s="1" t="s">
        <v>474</v>
      </c>
      <c r="B174" s="1" t="s">
        <v>475</v>
      </c>
      <c r="C174" s="1" t="s">
        <v>80</v>
      </c>
      <c r="D174" s="1" t="n">
        <v>0.071</v>
      </c>
      <c r="E174" s="1" t="s">
        <v>476</v>
      </c>
      <c r="F174" s="1" t="n">
        <v>26000000</v>
      </c>
      <c r="G174" s="1" t="n">
        <v>17851154</v>
      </c>
      <c r="H174" s="1" t="s">
        <v>477</v>
      </c>
    </row>
    <row r="175" customFormat="false" ht="15" hidden="false" customHeight="false" outlineLevel="0" collapsed="false">
      <c r="A175" s="1" t="s">
        <v>474</v>
      </c>
      <c r="B175" s="1" t="s">
        <v>475</v>
      </c>
      <c r="C175" s="1" t="s">
        <v>81</v>
      </c>
      <c r="D175" s="1" t="n">
        <v>0.071</v>
      </c>
      <c r="E175" s="1" t="s">
        <v>476</v>
      </c>
      <c r="F175" s="1" t="n">
        <v>26000000</v>
      </c>
      <c r="G175" s="1" t="n">
        <v>9609114</v>
      </c>
      <c r="H175" s="1" t="s">
        <v>477</v>
      </c>
    </row>
    <row r="176" customFormat="false" ht="15" hidden="false" customHeight="false" outlineLevel="0" collapsed="false">
      <c r="A176" s="1" t="s">
        <v>474</v>
      </c>
      <c r="B176" s="1" t="s">
        <v>475</v>
      </c>
      <c r="C176" s="1" t="s">
        <v>82</v>
      </c>
      <c r="D176" s="1" t="n">
        <v>0.071</v>
      </c>
      <c r="E176" s="1" t="s">
        <v>476</v>
      </c>
      <c r="F176" s="1" t="n">
        <v>26000000</v>
      </c>
      <c r="G176" s="1" t="n">
        <v>14537416</v>
      </c>
      <c r="H176" s="1" t="s">
        <v>477</v>
      </c>
    </row>
    <row r="177" customFormat="false" ht="15" hidden="false" customHeight="false" outlineLevel="0" collapsed="false">
      <c r="A177" s="1" t="s">
        <v>474</v>
      </c>
      <c r="B177" s="1" t="s">
        <v>475</v>
      </c>
      <c r="C177" s="1" t="s">
        <v>83</v>
      </c>
      <c r="D177" s="1" t="n">
        <v>0.071</v>
      </c>
      <c r="E177" s="1" t="s">
        <v>476</v>
      </c>
      <c r="F177" s="1" t="n">
        <v>26000000</v>
      </c>
      <c r="G177" s="1" t="n">
        <v>24631773</v>
      </c>
      <c r="H177" s="1" t="s">
        <v>477</v>
      </c>
    </row>
    <row r="178" customFormat="false" ht="15" hidden="false" customHeight="false" outlineLevel="0" collapsed="false">
      <c r="A178" s="1" t="s">
        <v>474</v>
      </c>
      <c r="B178" s="1" t="s">
        <v>475</v>
      </c>
      <c r="C178" s="1" t="s">
        <v>84</v>
      </c>
      <c r="D178" s="1" t="n">
        <v>0.071</v>
      </c>
      <c r="E178" s="1" t="s">
        <v>476</v>
      </c>
      <c r="F178" s="1" t="n">
        <v>26000000</v>
      </c>
      <c r="G178" s="1" t="n">
        <v>6103083</v>
      </c>
      <c r="H178" s="1" t="s">
        <v>477</v>
      </c>
    </row>
    <row r="179" customFormat="false" ht="15" hidden="false" customHeight="false" outlineLevel="0" collapsed="false">
      <c r="A179" s="1" t="s">
        <v>474</v>
      </c>
      <c r="B179" s="1" t="s">
        <v>475</v>
      </c>
      <c r="C179" s="1" t="s">
        <v>85</v>
      </c>
      <c r="D179" s="1" t="n">
        <v>0.071</v>
      </c>
      <c r="E179" s="1" t="s">
        <v>476</v>
      </c>
      <c r="F179" s="1" t="n">
        <v>26000000</v>
      </c>
      <c r="G179" s="1" t="n">
        <v>12920707</v>
      </c>
      <c r="H179" s="1" t="s">
        <v>477</v>
      </c>
    </row>
    <row r="180" customFormat="false" ht="15" hidden="false" customHeight="false" outlineLevel="0" collapsed="false">
      <c r="A180" s="1" t="s">
        <v>474</v>
      </c>
      <c r="B180" s="1" t="s">
        <v>475</v>
      </c>
      <c r="C180" s="1" t="s">
        <v>86</v>
      </c>
      <c r="D180" s="1" t="n">
        <v>0.071</v>
      </c>
      <c r="E180" s="1" t="s">
        <v>476</v>
      </c>
      <c r="F180" s="1" t="n">
        <v>26000000</v>
      </c>
      <c r="G180" s="1" t="n">
        <v>12506075</v>
      </c>
      <c r="H180" s="1" t="s">
        <v>477</v>
      </c>
    </row>
    <row r="181" customFormat="false" ht="15" hidden="false" customHeight="false" outlineLevel="0" collapsed="false">
      <c r="A181" s="1" t="s">
        <v>474</v>
      </c>
      <c r="B181" s="1" t="s">
        <v>475</v>
      </c>
      <c r="C181" s="1" t="s">
        <v>87</v>
      </c>
      <c r="D181" s="1" t="n">
        <v>0.071</v>
      </c>
      <c r="E181" s="1" t="s">
        <v>476</v>
      </c>
      <c r="F181" s="1" t="n">
        <v>26000000</v>
      </c>
      <c r="G181" s="1" t="n">
        <v>9421851</v>
      </c>
      <c r="H181" s="1" t="s">
        <v>477</v>
      </c>
    </row>
    <row r="182" customFormat="false" ht="15" hidden="false" customHeight="false" outlineLevel="0" collapsed="false">
      <c r="A182" s="1" t="s">
        <v>474</v>
      </c>
      <c r="B182" s="1" t="s">
        <v>475</v>
      </c>
      <c r="C182" s="1" t="s">
        <v>88</v>
      </c>
      <c r="D182" s="1" t="n">
        <v>0.071</v>
      </c>
      <c r="E182" s="1" t="s">
        <v>476</v>
      </c>
      <c r="F182" s="1" t="n">
        <v>26000000</v>
      </c>
      <c r="G182" s="1" t="n">
        <v>18904136</v>
      </c>
      <c r="H182" s="1" t="s">
        <v>477</v>
      </c>
    </row>
    <row r="183" customFormat="false" ht="15" hidden="false" customHeight="false" outlineLevel="0" collapsed="false">
      <c r="A183" s="1" t="s">
        <v>474</v>
      </c>
      <c r="B183" s="1" t="s">
        <v>475</v>
      </c>
      <c r="C183" s="1" t="s">
        <v>89</v>
      </c>
      <c r="D183" s="1" t="n">
        <v>0.071</v>
      </c>
      <c r="E183" s="1" t="s">
        <v>476</v>
      </c>
      <c r="F183" s="1" t="n">
        <v>26000000</v>
      </c>
      <c r="G183" s="1" t="n">
        <v>7371140</v>
      </c>
      <c r="H183" s="1" t="s">
        <v>477</v>
      </c>
    </row>
    <row r="184" customFormat="false" ht="15" hidden="false" customHeight="false" outlineLevel="0" collapsed="false">
      <c r="A184" s="1" t="s">
        <v>474</v>
      </c>
      <c r="B184" s="1" t="s">
        <v>475</v>
      </c>
      <c r="C184" s="1" t="s">
        <v>90</v>
      </c>
      <c r="D184" s="1" t="n">
        <v>0.071</v>
      </c>
      <c r="E184" s="1" t="s">
        <v>476</v>
      </c>
      <c r="F184" s="1" t="n">
        <v>26000000</v>
      </c>
      <c r="G184" s="1" t="n">
        <v>20762467</v>
      </c>
      <c r="H184" s="1" t="s">
        <v>477</v>
      </c>
    </row>
    <row r="185" customFormat="false" ht="15" hidden="false" customHeight="false" outlineLevel="0" collapsed="false">
      <c r="A185" s="1" t="s">
        <v>474</v>
      </c>
      <c r="B185" s="1" t="s">
        <v>475</v>
      </c>
      <c r="C185" s="1" t="s">
        <v>91</v>
      </c>
      <c r="D185" s="1" t="n">
        <v>0.071</v>
      </c>
      <c r="E185" s="1" t="s">
        <v>476</v>
      </c>
      <c r="F185" s="1" t="n">
        <v>26000000</v>
      </c>
      <c r="G185" s="1" t="n">
        <v>18950484</v>
      </c>
      <c r="H185" s="1" t="s">
        <v>477</v>
      </c>
    </row>
    <row r="186" customFormat="false" ht="15" hidden="false" customHeight="false" outlineLevel="0" collapsed="false">
      <c r="A186" s="1" t="s">
        <v>474</v>
      </c>
      <c r="B186" s="1" t="s">
        <v>475</v>
      </c>
      <c r="C186" s="1" t="s">
        <v>92</v>
      </c>
      <c r="D186" s="1" t="n">
        <v>0.071</v>
      </c>
      <c r="E186" s="1" t="s">
        <v>476</v>
      </c>
      <c r="F186" s="1" t="n">
        <v>26000000</v>
      </c>
      <c r="G186" s="1" t="n">
        <v>13978758</v>
      </c>
      <c r="H186" s="1" t="s">
        <v>477</v>
      </c>
    </row>
    <row r="187" customFormat="false" ht="15" hidden="false" customHeight="false" outlineLevel="0" collapsed="false">
      <c r="A187" s="1" t="s">
        <v>474</v>
      </c>
      <c r="B187" s="1" t="s">
        <v>475</v>
      </c>
      <c r="C187" s="1" t="s">
        <v>93</v>
      </c>
      <c r="D187" s="1" t="n">
        <v>0.071</v>
      </c>
      <c r="E187" s="1" t="s">
        <v>476</v>
      </c>
      <c r="F187" s="1" t="n">
        <v>26000000</v>
      </c>
      <c r="G187" s="1" t="n">
        <v>9850529</v>
      </c>
      <c r="H187" s="1" t="s">
        <v>477</v>
      </c>
    </row>
    <row r="188" customFormat="false" ht="15" hidden="false" customHeight="false" outlineLevel="0" collapsed="false">
      <c r="A188" s="1" t="s">
        <v>474</v>
      </c>
      <c r="B188" s="1" t="s">
        <v>475</v>
      </c>
      <c r="C188" s="1" t="s">
        <v>94</v>
      </c>
      <c r="D188" s="1" t="n">
        <v>0.071</v>
      </c>
      <c r="E188" s="1" t="s">
        <v>476</v>
      </c>
      <c r="F188" s="1" t="n">
        <v>26000000</v>
      </c>
      <c r="G188" s="1" t="n">
        <v>7284363</v>
      </c>
      <c r="H188" s="1" t="s">
        <v>477</v>
      </c>
    </row>
    <row r="189" customFormat="false" ht="15" hidden="false" customHeight="false" outlineLevel="0" collapsed="false">
      <c r="A189" s="1" t="s">
        <v>474</v>
      </c>
      <c r="B189" s="1" t="s">
        <v>475</v>
      </c>
      <c r="C189" s="1" t="s">
        <v>95</v>
      </c>
      <c r="D189" s="1" t="n">
        <v>0.071</v>
      </c>
      <c r="E189" s="1" t="s">
        <v>476</v>
      </c>
      <c r="F189" s="1" t="n">
        <v>26000000</v>
      </c>
      <c r="G189" s="1" t="n">
        <v>15592081</v>
      </c>
      <c r="H189" s="1" t="s">
        <v>477</v>
      </c>
    </row>
    <row r="190" customFormat="false" ht="15" hidden="false" customHeight="false" outlineLevel="0" collapsed="false">
      <c r="A190" s="1" t="s">
        <v>474</v>
      </c>
      <c r="B190" s="1" t="s">
        <v>475</v>
      </c>
      <c r="C190" s="1" t="s">
        <v>96</v>
      </c>
      <c r="D190" s="1" t="n">
        <v>0.071</v>
      </c>
      <c r="E190" s="1" t="s">
        <v>476</v>
      </c>
      <c r="F190" s="1" t="n">
        <v>26000000</v>
      </c>
      <c r="G190" s="1" t="n">
        <v>4256636</v>
      </c>
      <c r="H190" s="1" t="s">
        <v>477</v>
      </c>
    </row>
    <row r="191" customFormat="false" ht="15" hidden="false" customHeight="false" outlineLevel="0" collapsed="false">
      <c r="A191" s="1" t="s">
        <v>474</v>
      </c>
      <c r="B191" s="1" t="s">
        <v>475</v>
      </c>
      <c r="C191" s="1" t="s">
        <v>97</v>
      </c>
      <c r="D191" s="1" t="n">
        <v>0.071</v>
      </c>
      <c r="E191" s="1" t="s">
        <v>476</v>
      </c>
      <c r="F191" s="1" t="n">
        <v>26000000</v>
      </c>
      <c r="G191" s="1" t="n">
        <v>11211286</v>
      </c>
      <c r="H191" s="1" t="s">
        <v>477</v>
      </c>
    </row>
    <row r="192" customFormat="false" ht="15" hidden="false" customHeight="false" outlineLevel="0" collapsed="false">
      <c r="A192" s="1" t="s">
        <v>474</v>
      </c>
      <c r="B192" s="1" t="s">
        <v>475</v>
      </c>
      <c r="C192" s="1" t="s">
        <v>98</v>
      </c>
      <c r="D192" s="1" t="n">
        <v>0.071</v>
      </c>
      <c r="E192" s="1" t="s">
        <v>476</v>
      </c>
      <c r="F192" s="1" t="n">
        <v>26000000</v>
      </c>
      <c r="G192" s="1" t="n">
        <v>18266977</v>
      </c>
      <c r="H192" s="1" t="s">
        <v>477</v>
      </c>
    </row>
    <row r="193" customFormat="false" ht="15" hidden="false" customHeight="false" outlineLevel="0" collapsed="false">
      <c r="A193" s="1" t="s">
        <v>474</v>
      </c>
      <c r="B193" s="1" t="s">
        <v>475</v>
      </c>
      <c r="C193" s="1" t="s">
        <v>99</v>
      </c>
      <c r="D193" s="1" t="n">
        <v>0.071</v>
      </c>
      <c r="E193" s="1" t="s">
        <v>476</v>
      </c>
      <c r="F193" s="1" t="n">
        <v>26000000</v>
      </c>
      <c r="G193" s="1" t="n">
        <v>3977091</v>
      </c>
      <c r="H193" s="1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3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6" min="5" style="1" width="13"/>
  </cols>
  <sheetData>
    <row r="1" customFormat="false" ht="28.35" hidden="false" customHeight="false" outlineLevel="0" collapsed="false">
      <c r="A1" s="13" t="s">
        <v>45</v>
      </c>
      <c r="B1" s="13" t="s">
        <v>478</v>
      </c>
      <c r="C1" s="13" t="s">
        <v>479</v>
      </c>
      <c r="D1" s="13" t="s">
        <v>480</v>
      </c>
      <c r="E1" s="13" t="s">
        <v>152</v>
      </c>
      <c r="F1" s="13" t="s">
        <v>481</v>
      </c>
    </row>
    <row r="2" customFormat="false" ht="15" hidden="false" customHeight="false" outlineLevel="0" collapsed="false">
      <c r="A2" s="1" t="s">
        <v>76</v>
      </c>
      <c r="B2" s="1" t="s">
        <v>482</v>
      </c>
      <c r="C2" s="1" t="n">
        <v>678732</v>
      </c>
      <c r="D2" s="1" t="n">
        <v>633718</v>
      </c>
      <c r="E2" s="1" t="n">
        <v>-45014</v>
      </c>
      <c r="F2" s="1" t="n">
        <v>-0.0663</v>
      </c>
    </row>
    <row r="3" customFormat="false" ht="15" hidden="false" customHeight="false" outlineLevel="0" collapsed="false">
      <c r="A3" s="1" t="s">
        <v>76</v>
      </c>
      <c r="B3" s="1" t="s">
        <v>483</v>
      </c>
      <c r="C3" s="1" t="n">
        <v>621116</v>
      </c>
      <c r="D3" s="1" t="n">
        <v>638637</v>
      </c>
      <c r="E3" s="1" t="n">
        <v>17521</v>
      </c>
      <c r="F3" s="1" t="n">
        <v>0.0282</v>
      </c>
    </row>
    <row r="4" customFormat="false" ht="15" hidden="false" customHeight="false" outlineLevel="0" collapsed="false">
      <c r="A4" s="1" t="s">
        <v>76</v>
      </c>
      <c r="B4" s="1" t="s">
        <v>484</v>
      </c>
      <c r="C4" s="1" t="n">
        <v>336522</v>
      </c>
      <c r="D4" s="1" t="n">
        <v>333415</v>
      </c>
      <c r="E4" s="1" t="n">
        <v>-3106</v>
      </c>
      <c r="F4" s="1" t="n">
        <v>-0.0092</v>
      </c>
    </row>
    <row r="5" customFormat="false" ht="15" hidden="false" customHeight="false" outlineLevel="0" collapsed="false">
      <c r="A5" s="1" t="s">
        <v>76</v>
      </c>
      <c r="B5" s="1" t="s">
        <v>485</v>
      </c>
      <c r="C5" s="1" t="n">
        <v>525998</v>
      </c>
      <c r="D5" s="1" t="n">
        <v>476580</v>
      </c>
      <c r="E5" s="1" t="n">
        <v>-49418</v>
      </c>
      <c r="F5" s="1" t="n">
        <v>-0.094</v>
      </c>
    </row>
    <row r="6" customFormat="false" ht="15" hidden="false" customHeight="false" outlineLevel="0" collapsed="false">
      <c r="A6" s="1" t="s">
        <v>76</v>
      </c>
      <c r="B6" s="1" t="s">
        <v>486</v>
      </c>
      <c r="C6" s="1" t="n">
        <v>395173</v>
      </c>
      <c r="D6" s="1" t="n">
        <v>407222</v>
      </c>
      <c r="E6" s="1" t="n">
        <v>12049</v>
      </c>
      <c r="F6" s="1" t="n">
        <v>0.0305</v>
      </c>
    </row>
    <row r="7" customFormat="false" ht="15" hidden="false" customHeight="false" outlineLevel="0" collapsed="false">
      <c r="A7" s="1" t="s">
        <v>76</v>
      </c>
      <c r="B7" s="1" t="s">
        <v>487</v>
      </c>
      <c r="C7" s="1" t="n">
        <v>626705</v>
      </c>
      <c r="D7" s="1" t="n">
        <v>652228</v>
      </c>
      <c r="E7" s="1" t="n">
        <v>25523</v>
      </c>
      <c r="F7" s="1" t="n">
        <v>0.0407</v>
      </c>
    </row>
    <row r="8" customFormat="false" ht="15" hidden="false" customHeight="false" outlineLevel="0" collapsed="false">
      <c r="A8" s="1" t="s">
        <v>76</v>
      </c>
      <c r="B8" s="1" t="s">
        <v>488</v>
      </c>
      <c r="C8" s="1" t="n">
        <v>362137</v>
      </c>
      <c r="D8" s="1" t="n">
        <v>319935</v>
      </c>
      <c r="E8" s="1" t="n">
        <v>-42202</v>
      </c>
      <c r="F8" s="1" t="n">
        <v>-0.1165</v>
      </c>
    </row>
    <row r="9" customFormat="false" ht="15" hidden="false" customHeight="false" outlineLevel="0" collapsed="false">
      <c r="A9" s="1" t="s">
        <v>76</v>
      </c>
      <c r="B9" s="1" t="s">
        <v>489</v>
      </c>
      <c r="C9" s="1" t="n">
        <v>570894</v>
      </c>
      <c r="D9" s="1" t="n">
        <v>586267</v>
      </c>
      <c r="E9" s="1" t="n">
        <v>15372</v>
      </c>
      <c r="F9" s="1" t="n">
        <v>0.0269</v>
      </c>
    </row>
    <row r="10" customFormat="false" ht="15" hidden="false" customHeight="false" outlineLevel="0" collapsed="false">
      <c r="A10" s="1" t="s">
        <v>76</v>
      </c>
      <c r="B10" s="1" t="s">
        <v>490</v>
      </c>
      <c r="C10" s="1" t="n">
        <v>496923</v>
      </c>
      <c r="D10" s="1" t="n">
        <v>497799</v>
      </c>
      <c r="E10" s="1" t="n">
        <v>875</v>
      </c>
      <c r="F10" s="1" t="n">
        <v>0.0018</v>
      </c>
    </row>
    <row r="11" customFormat="false" ht="15" hidden="false" customHeight="false" outlineLevel="0" collapsed="false">
      <c r="A11" s="1" t="s">
        <v>76</v>
      </c>
      <c r="B11" s="1" t="s">
        <v>491</v>
      </c>
      <c r="C11" s="1" t="n">
        <v>472963</v>
      </c>
      <c r="D11" s="1" t="n">
        <v>499369</v>
      </c>
      <c r="E11" s="1" t="n">
        <v>26407</v>
      </c>
      <c r="F11" s="1" t="n">
        <v>0.0558</v>
      </c>
    </row>
    <row r="12" customFormat="false" ht="15" hidden="false" customHeight="false" outlineLevel="0" collapsed="false">
      <c r="A12" s="1" t="s">
        <v>76</v>
      </c>
      <c r="B12" s="1" t="s">
        <v>492</v>
      </c>
      <c r="C12" s="1" t="n">
        <v>317546</v>
      </c>
      <c r="D12" s="1" t="n">
        <v>318593</v>
      </c>
      <c r="E12" s="1" t="n">
        <v>1046</v>
      </c>
      <c r="F12" s="1" t="n">
        <v>0.0033</v>
      </c>
    </row>
    <row r="13" customFormat="false" ht="15" hidden="false" customHeight="false" outlineLevel="0" collapsed="false">
      <c r="A13" s="1" t="s">
        <v>76</v>
      </c>
      <c r="B13" s="1" t="s">
        <v>493</v>
      </c>
      <c r="C13" s="1" t="n">
        <v>332697</v>
      </c>
      <c r="D13" s="1" t="n">
        <v>351824</v>
      </c>
      <c r="E13" s="1" t="n">
        <v>19127</v>
      </c>
      <c r="F13" s="1" t="n">
        <v>0.0575</v>
      </c>
    </row>
    <row r="14" customFormat="false" ht="15" hidden="false" customHeight="false" outlineLevel="0" collapsed="false">
      <c r="A14" s="1" t="s">
        <v>77</v>
      </c>
      <c r="B14" s="1" t="s">
        <v>482</v>
      </c>
      <c r="C14" s="1" t="n">
        <v>296290</v>
      </c>
      <c r="D14" s="1" t="n">
        <v>292578</v>
      </c>
      <c r="E14" s="1" t="n">
        <v>-3712</v>
      </c>
      <c r="F14" s="1" t="n">
        <v>-0.0125</v>
      </c>
    </row>
    <row r="15" customFormat="false" ht="15" hidden="false" customHeight="false" outlineLevel="0" collapsed="false">
      <c r="A15" s="1" t="s">
        <v>77</v>
      </c>
      <c r="B15" s="1" t="s">
        <v>483</v>
      </c>
      <c r="C15" s="1" t="n">
        <v>786523</v>
      </c>
      <c r="D15" s="1" t="n">
        <v>782374</v>
      </c>
      <c r="E15" s="1" t="n">
        <v>-4149</v>
      </c>
      <c r="F15" s="1" t="n">
        <v>-0.0053</v>
      </c>
    </row>
    <row r="16" customFormat="false" ht="15" hidden="false" customHeight="false" outlineLevel="0" collapsed="false">
      <c r="A16" s="1" t="s">
        <v>77</v>
      </c>
      <c r="B16" s="1" t="s">
        <v>484</v>
      </c>
      <c r="C16" s="1" t="n">
        <v>431404</v>
      </c>
      <c r="D16" s="1" t="n">
        <v>432333</v>
      </c>
      <c r="E16" s="1" t="n">
        <v>929</v>
      </c>
      <c r="F16" s="1" t="n">
        <v>0.0022</v>
      </c>
    </row>
    <row r="17" customFormat="false" ht="15" hidden="false" customHeight="false" outlineLevel="0" collapsed="false">
      <c r="A17" s="1" t="s">
        <v>77</v>
      </c>
      <c r="B17" s="1" t="s">
        <v>485</v>
      </c>
      <c r="C17" s="1" t="n">
        <v>389583</v>
      </c>
      <c r="D17" s="1" t="n">
        <v>399979</v>
      </c>
      <c r="E17" s="1" t="n">
        <v>10396</v>
      </c>
      <c r="F17" s="1" t="n">
        <v>0.0267</v>
      </c>
    </row>
    <row r="18" customFormat="false" ht="15" hidden="false" customHeight="false" outlineLevel="0" collapsed="false">
      <c r="A18" s="1" t="s">
        <v>77</v>
      </c>
      <c r="B18" s="1" t="s">
        <v>486</v>
      </c>
      <c r="C18" s="1" t="n">
        <v>569534</v>
      </c>
      <c r="D18" s="1" t="n">
        <v>597855</v>
      </c>
      <c r="E18" s="1" t="n">
        <v>28320</v>
      </c>
      <c r="F18" s="1" t="n">
        <v>0.0497</v>
      </c>
    </row>
    <row r="19" customFormat="false" ht="15" hidden="false" customHeight="false" outlineLevel="0" collapsed="false">
      <c r="A19" s="1" t="s">
        <v>77</v>
      </c>
      <c r="B19" s="1" t="s">
        <v>487</v>
      </c>
      <c r="C19" s="1" t="n">
        <v>540156</v>
      </c>
      <c r="D19" s="1" t="n">
        <v>583031</v>
      </c>
      <c r="E19" s="1" t="n">
        <v>42876</v>
      </c>
      <c r="F19" s="1" t="n">
        <v>0.0794</v>
      </c>
    </row>
    <row r="20" customFormat="false" ht="15" hidden="false" customHeight="false" outlineLevel="0" collapsed="false">
      <c r="A20" s="1" t="s">
        <v>77</v>
      </c>
      <c r="B20" s="1" t="s">
        <v>488</v>
      </c>
      <c r="C20" s="1" t="n">
        <v>397347</v>
      </c>
      <c r="D20" s="1" t="n">
        <v>358555</v>
      </c>
      <c r="E20" s="1" t="n">
        <v>-38792</v>
      </c>
      <c r="F20" s="1" t="n">
        <v>-0.0976</v>
      </c>
    </row>
    <row r="21" customFormat="false" ht="15" hidden="false" customHeight="false" outlineLevel="0" collapsed="false">
      <c r="A21" s="1" t="s">
        <v>77</v>
      </c>
      <c r="B21" s="1" t="s">
        <v>489</v>
      </c>
      <c r="C21" s="1" t="n">
        <v>403859</v>
      </c>
      <c r="D21" s="1" t="n">
        <v>410944</v>
      </c>
      <c r="E21" s="1" t="n">
        <v>7084</v>
      </c>
      <c r="F21" s="1" t="n">
        <v>0.0175</v>
      </c>
    </row>
    <row r="22" customFormat="false" ht="15" hidden="false" customHeight="false" outlineLevel="0" collapsed="false">
      <c r="A22" s="1" t="s">
        <v>77</v>
      </c>
      <c r="B22" s="1" t="s">
        <v>490</v>
      </c>
      <c r="C22" s="1" t="n">
        <v>753607</v>
      </c>
      <c r="D22" s="1" t="n">
        <v>777256</v>
      </c>
      <c r="E22" s="1" t="n">
        <v>23649</v>
      </c>
      <c r="F22" s="1" t="n">
        <v>0.0314</v>
      </c>
    </row>
    <row r="23" customFormat="false" ht="15" hidden="false" customHeight="false" outlineLevel="0" collapsed="false">
      <c r="A23" s="1" t="s">
        <v>77</v>
      </c>
      <c r="B23" s="1" t="s">
        <v>491</v>
      </c>
      <c r="C23" s="1" t="n">
        <v>297107</v>
      </c>
      <c r="D23" s="1" t="n">
        <v>318114</v>
      </c>
      <c r="E23" s="1" t="n">
        <v>21007</v>
      </c>
      <c r="F23" s="1" t="n">
        <v>0.0707</v>
      </c>
    </row>
    <row r="24" customFormat="false" ht="15" hidden="false" customHeight="false" outlineLevel="0" collapsed="false">
      <c r="A24" s="1" t="s">
        <v>77</v>
      </c>
      <c r="B24" s="1" t="s">
        <v>492</v>
      </c>
      <c r="C24" s="1" t="n">
        <v>321912</v>
      </c>
      <c r="D24" s="1" t="n">
        <v>315658</v>
      </c>
      <c r="E24" s="1" t="n">
        <v>-6254</v>
      </c>
      <c r="F24" s="1" t="n">
        <v>-0.0194</v>
      </c>
    </row>
    <row r="25" customFormat="false" ht="15" hidden="false" customHeight="false" outlineLevel="0" collapsed="false">
      <c r="A25" s="1" t="s">
        <v>77</v>
      </c>
      <c r="B25" s="1" t="s">
        <v>493</v>
      </c>
      <c r="C25" s="1" t="n">
        <v>542666</v>
      </c>
      <c r="D25" s="1" t="n">
        <v>517840</v>
      </c>
      <c r="E25" s="1" t="n">
        <v>-24826</v>
      </c>
      <c r="F25" s="1" t="n">
        <v>-0.0457</v>
      </c>
    </row>
    <row r="26" customFormat="false" ht="15" hidden="false" customHeight="false" outlineLevel="0" collapsed="false">
      <c r="A26" s="1" t="s">
        <v>78</v>
      </c>
      <c r="B26" s="1" t="s">
        <v>482</v>
      </c>
      <c r="C26" s="1" t="n">
        <v>619088</v>
      </c>
      <c r="D26" s="1" t="n">
        <v>554119</v>
      </c>
      <c r="E26" s="1" t="n">
        <v>-64968</v>
      </c>
      <c r="F26" s="1" t="n">
        <v>-0.1049</v>
      </c>
    </row>
    <row r="27" customFormat="false" ht="15" hidden="false" customHeight="false" outlineLevel="0" collapsed="false">
      <c r="A27" s="1" t="s">
        <v>78</v>
      </c>
      <c r="B27" s="1" t="s">
        <v>483</v>
      </c>
      <c r="C27" s="1" t="n">
        <v>628504</v>
      </c>
      <c r="D27" s="1" t="n">
        <v>613176</v>
      </c>
      <c r="E27" s="1" t="n">
        <v>-15329</v>
      </c>
      <c r="F27" s="1" t="n">
        <v>-0.0244</v>
      </c>
    </row>
    <row r="28" customFormat="false" ht="15" hidden="false" customHeight="false" outlineLevel="0" collapsed="false">
      <c r="A28" s="1" t="s">
        <v>78</v>
      </c>
      <c r="B28" s="1" t="s">
        <v>484</v>
      </c>
      <c r="C28" s="1" t="n">
        <v>333769</v>
      </c>
      <c r="D28" s="1" t="n">
        <v>303867</v>
      </c>
      <c r="E28" s="1" t="n">
        <v>-29901</v>
      </c>
      <c r="F28" s="1" t="n">
        <v>-0.0896</v>
      </c>
    </row>
    <row r="29" customFormat="false" ht="15" hidden="false" customHeight="false" outlineLevel="0" collapsed="false">
      <c r="A29" s="1" t="s">
        <v>78</v>
      </c>
      <c r="B29" s="1" t="s">
        <v>485</v>
      </c>
      <c r="C29" s="1" t="n">
        <v>763031</v>
      </c>
      <c r="D29" s="1" t="n">
        <v>737839</v>
      </c>
      <c r="E29" s="1" t="n">
        <v>-25192</v>
      </c>
      <c r="F29" s="1" t="n">
        <v>-0.033</v>
      </c>
    </row>
    <row r="30" customFormat="false" ht="15" hidden="false" customHeight="false" outlineLevel="0" collapsed="false">
      <c r="A30" s="1" t="s">
        <v>78</v>
      </c>
      <c r="B30" s="1" t="s">
        <v>486</v>
      </c>
      <c r="C30" s="1" t="n">
        <v>284099</v>
      </c>
      <c r="D30" s="1" t="n">
        <v>287853</v>
      </c>
      <c r="E30" s="1" t="n">
        <v>3754</v>
      </c>
      <c r="F30" s="1" t="n">
        <v>0.0132</v>
      </c>
    </row>
    <row r="31" customFormat="false" ht="15" hidden="false" customHeight="false" outlineLevel="0" collapsed="false">
      <c r="A31" s="1" t="s">
        <v>78</v>
      </c>
      <c r="B31" s="1" t="s">
        <v>487</v>
      </c>
      <c r="C31" s="1" t="n">
        <v>517807</v>
      </c>
      <c r="D31" s="1" t="n">
        <v>517829</v>
      </c>
      <c r="E31" s="1" t="n">
        <v>22</v>
      </c>
      <c r="F31" s="1" t="n">
        <v>0</v>
      </c>
    </row>
    <row r="32" customFormat="false" ht="15" hidden="false" customHeight="false" outlineLevel="0" collapsed="false">
      <c r="A32" s="1" t="s">
        <v>78</v>
      </c>
      <c r="B32" s="1" t="s">
        <v>488</v>
      </c>
      <c r="C32" s="1" t="n">
        <v>718581</v>
      </c>
      <c r="D32" s="1" t="n">
        <v>692978</v>
      </c>
      <c r="E32" s="1" t="n">
        <v>-25603</v>
      </c>
      <c r="F32" s="1" t="n">
        <v>-0.0356</v>
      </c>
    </row>
    <row r="33" customFormat="false" ht="15" hidden="false" customHeight="false" outlineLevel="0" collapsed="false">
      <c r="A33" s="1" t="s">
        <v>78</v>
      </c>
      <c r="B33" s="1" t="s">
        <v>489</v>
      </c>
      <c r="C33" s="1" t="n">
        <v>685627</v>
      </c>
      <c r="D33" s="1" t="n">
        <v>642212</v>
      </c>
      <c r="E33" s="1" t="n">
        <v>-43415</v>
      </c>
      <c r="F33" s="1" t="n">
        <v>-0.0633</v>
      </c>
    </row>
    <row r="34" customFormat="false" ht="15" hidden="false" customHeight="false" outlineLevel="0" collapsed="false">
      <c r="A34" s="1" t="s">
        <v>78</v>
      </c>
      <c r="B34" s="1" t="s">
        <v>490</v>
      </c>
      <c r="C34" s="1" t="n">
        <v>593862</v>
      </c>
      <c r="D34" s="1" t="n">
        <v>580928</v>
      </c>
      <c r="E34" s="1" t="n">
        <v>-12934</v>
      </c>
      <c r="F34" s="1" t="n">
        <v>-0.0218</v>
      </c>
    </row>
    <row r="35" customFormat="false" ht="15" hidden="false" customHeight="false" outlineLevel="0" collapsed="false">
      <c r="A35" s="1" t="s">
        <v>78</v>
      </c>
      <c r="B35" s="1" t="s">
        <v>491</v>
      </c>
      <c r="C35" s="1" t="n">
        <v>404927</v>
      </c>
      <c r="D35" s="1" t="n">
        <v>411236</v>
      </c>
      <c r="E35" s="1" t="n">
        <v>6309</v>
      </c>
      <c r="F35" s="1" t="n">
        <v>0.0156</v>
      </c>
    </row>
    <row r="36" customFormat="false" ht="15" hidden="false" customHeight="false" outlineLevel="0" collapsed="false">
      <c r="A36" s="1" t="s">
        <v>78</v>
      </c>
      <c r="B36" s="1" t="s">
        <v>492</v>
      </c>
      <c r="C36" s="1" t="n">
        <v>267942</v>
      </c>
      <c r="D36" s="1" t="n">
        <v>258031</v>
      </c>
      <c r="E36" s="1" t="n">
        <v>-9911</v>
      </c>
      <c r="F36" s="1" t="n">
        <v>-0.037</v>
      </c>
    </row>
    <row r="37" customFormat="false" ht="15" hidden="false" customHeight="false" outlineLevel="0" collapsed="false">
      <c r="A37" s="1" t="s">
        <v>78</v>
      </c>
      <c r="B37" s="1" t="s">
        <v>493</v>
      </c>
      <c r="C37" s="1" t="n">
        <v>591538</v>
      </c>
      <c r="D37" s="1" t="n">
        <v>639649</v>
      </c>
      <c r="E37" s="1" t="n">
        <v>48110</v>
      </c>
      <c r="F37" s="1" t="n">
        <v>0.0813</v>
      </c>
    </row>
    <row r="38" customFormat="false" ht="15" hidden="false" customHeight="false" outlineLevel="0" collapsed="false">
      <c r="A38" s="1" t="s">
        <v>79</v>
      </c>
      <c r="B38" s="1" t="s">
        <v>482</v>
      </c>
      <c r="C38" s="1" t="n">
        <v>273290</v>
      </c>
      <c r="D38" s="1" t="n">
        <v>255963</v>
      </c>
      <c r="E38" s="1" t="n">
        <v>-17326</v>
      </c>
      <c r="F38" s="1" t="n">
        <v>-0.0634</v>
      </c>
    </row>
    <row r="39" customFormat="false" ht="15" hidden="false" customHeight="false" outlineLevel="0" collapsed="false">
      <c r="A39" s="1" t="s">
        <v>79</v>
      </c>
      <c r="B39" s="1" t="s">
        <v>483</v>
      </c>
      <c r="C39" s="1" t="n">
        <v>276162</v>
      </c>
      <c r="D39" s="1" t="n">
        <v>251904</v>
      </c>
      <c r="E39" s="1" t="n">
        <v>-24258</v>
      </c>
      <c r="F39" s="1" t="n">
        <v>-0.0878</v>
      </c>
    </row>
    <row r="40" customFormat="false" ht="15" hidden="false" customHeight="false" outlineLevel="0" collapsed="false">
      <c r="A40" s="1" t="s">
        <v>79</v>
      </c>
      <c r="B40" s="1" t="s">
        <v>484</v>
      </c>
      <c r="C40" s="1" t="n">
        <v>313090</v>
      </c>
      <c r="D40" s="1" t="n">
        <v>297133</v>
      </c>
      <c r="E40" s="1" t="n">
        <v>-15958</v>
      </c>
      <c r="F40" s="1" t="n">
        <v>-0.051</v>
      </c>
    </row>
    <row r="41" customFormat="false" ht="15" hidden="false" customHeight="false" outlineLevel="0" collapsed="false">
      <c r="A41" s="1" t="s">
        <v>79</v>
      </c>
      <c r="B41" s="1" t="s">
        <v>485</v>
      </c>
      <c r="C41" s="1" t="n">
        <v>331556</v>
      </c>
      <c r="D41" s="1" t="n">
        <v>339631</v>
      </c>
      <c r="E41" s="1" t="n">
        <v>8075</v>
      </c>
      <c r="F41" s="1" t="n">
        <v>0.0244</v>
      </c>
    </row>
    <row r="42" customFormat="false" ht="15" hidden="false" customHeight="false" outlineLevel="0" collapsed="false">
      <c r="A42" s="1" t="s">
        <v>79</v>
      </c>
      <c r="B42" s="1" t="s">
        <v>486</v>
      </c>
      <c r="C42" s="1" t="n">
        <v>659878</v>
      </c>
      <c r="D42" s="1" t="n">
        <v>577715</v>
      </c>
      <c r="E42" s="1" t="n">
        <v>-82163</v>
      </c>
      <c r="F42" s="1" t="n">
        <v>-0.1245</v>
      </c>
    </row>
    <row r="43" customFormat="false" ht="15" hidden="false" customHeight="false" outlineLevel="0" collapsed="false">
      <c r="A43" s="1" t="s">
        <v>79</v>
      </c>
      <c r="B43" s="1" t="s">
        <v>487</v>
      </c>
      <c r="C43" s="1" t="n">
        <v>781948</v>
      </c>
      <c r="D43" s="1" t="n">
        <v>778690</v>
      </c>
      <c r="E43" s="1" t="n">
        <v>-3258</v>
      </c>
      <c r="F43" s="1" t="n">
        <v>-0.0042</v>
      </c>
    </row>
    <row r="44" customFormat="false" ht="15" hidden="false" customHeight="false" outlineLevel="0" collapsed="false">
      <c r="A44" s="1" t="s">
        <v>79</v>
      </c>
      <c r="B44" s="1" t="s">
        <v>488</v>
      </c>
      <c r="C44" s="1" t="n">
        <v>791062</v>
      </c>
      <c r="D44" s="1" t="n">
        <v>736617</v>
      </c>
      <c r="E44" s="1" t="n">
        <v>-54445</v>
      </c>
      <c r="F44" s="1" t="n">
        <v>-0.0688</v>
      </c>
    </row>
    <row r="45" customFormat="false" ht="15" hidden="false" customHeight="false" outlineLevel="0" collapsed="false">
      <c r="A45" s="1" t="s">
        <v>79</v>
      </c>
      <c r="B45" s="1" t="s">
        <v>489</v>
      </c>
      <c r="C45" s="1" t="n">
        <v>456523</v>
      </c>
      <c r="D45" s="1" t="n">
        <v>446066</v>
      </c>
      <c r="E45" s="1" t="n">
        <v>-10457</v>
      </c>
      <c r="F45" s="1" t="n">
        <v>-0.0229</v>
      </c>
    </row>
    <row r="46" customFormat="false" ht="15" hidden="false" customHeight="false" outlineLevel="0" collapsed="false">
      <c r="A46" s="1" t="s">
        <v>79</v>
      </c>
      <c r="B46" s="1" t="s">
        <v>490</v>
      </c>
      <c r="C46" s="1" t="n">
        <v>482001</v>
      </c>
      <c r="D46" s="1" t="n">
        <v>467354</v>
      </c>
      <c r="E46" s="1" t="n">
        <v>-14647</v>
      </c>
      <c r="F46" s="1" t="n">
        <v>-0.0304</v>
      </c>
    </row>
    <row r="47" customFormat="false" ht="15" hidden="false" customHeight="false" outlineLevel="0" collapsed="false">
      <c r="A47" s="1" t="s">
        <v>79</v>
      </c>
      <c r="B47" s="1" t="s">
        <v>491</v>
      </c>
      <c r="C47" s="1" t="n">
        <v>596006</v>
      </c>
      <c r="D47" s="1" t="n">
        <v>584193</v>
      </c>
      <c r="E47" s="1" t="n">
        <v>-11813</v>
      </c>
      <c r="F47" s="1" t="n">
        <v>-0.0198</v>
      </c>
    </row>
    <row r="48" customFormat="false" ht="15" hidden="false" customHeight="false" outlineLevel="0" collapsed="false">
      <c r="A48" s="1" t="s">
        <v>79</v>
      </c>
      <c r="B48" s="1" t="s">
        <v>492</v>
      </c>
      <c r="C48" s="1" t="n">
        <v>500324</v>
      </c>
      <c r="D48" s="1" t="n">
        <v>501313</v>
      </c>
      <c r="E48" s="1" t="n">
        <v>988</v>
      </c>
      <c r="F48" s="1" t="n">
        <v>0.002</v>
      </c>
    </row>
    <row r="49" customFormat="false" ht="15" hidden="false" customHeight="false" outlineLevel="0" collapsed="false">
      <c r="A49" s="1" t="s">
        <v>79</v>
      </c>
      <c r="B49" s="1" t="s">
        <v>493</v>
      </c>
      <c r="C49" s="1" t="n">
        <v>590492</v>
      </c>
      <c r="D49" s="1" t="n">
        <v>578144</v>
      </c>
      <c r="E49" s="1" t="n">
        <v>-12348</v>
      </c>
      <c r="F49" s="1" t="n">
        <v>-0.0209</v>
      </c>
    </row>
    <row r="50" customFormat="false" ht="15" hidden="false" customHeight="false" outlineLevel="0" collapsed="false">
      <c r="A50" s="1" t="s">
        <v>80</v>
      </c>
      <c r="B50" s="1" t="s">
        <v>482</v>
      </c>
      <c r="C50" s="1" t="n">
        <v>366748</v>
      </c>
      <c r="D50" s="1" t="n">
        <v>335036</v>
      </c>
      <c r="E50" s="1" t="n">
        <v>-31712</v>
      </c>
      <c r="F50" s="1" t="n">
        <v>-0.0865</v>
      </c>
    </row>
    <row r="51" customFormat="false" ht="15" hidden="false" customHeight="false" outlineLevel="0" collapsed="false">
      <c r="A51" s="1" t="s">
        <v>80</v>
      </c>
      <c r="B51" s="1" t="s">
        <v>483</v>
      </c>
      <c r="C51" s="1" t="n">
        <v>351385</v>
      </c>
      <c r="D51" s="1" t="n">
        <v>330036</v>
      </c>
      <c r="E51" s="1" t="n">
        <v>-21348</v>
      </c>
      <c r="F51" s="1" t="n">
        <v>-0.0608</v>
      </c>
    </row>
    <row r="52" customFormat="false" ht="15" hidden="false" customHeight="false" outlineLevel="0" collapsed="false">
      <c r="A52" s="1" t="s">
        <v>80</v>
      </c>
      <c r="B52" s="1" t="s">
        <v>484</v>
      </c>
      <c r="C52" s="1" t="n">
        <v>710723</v>
      </c>
      <c r="D52" s="1" t="n">
        <v>650508</v>
      </c>
      <c r="E52" s="1" t="n">
        <v>-60214</v>
      </c>
      <c r="F52" s="1" t="n">
        <v>-0.0847</v>
      </c>
    </row>
    <row r="53" customFormat="false" ht="15" hidden="false" customHeight="false" outlineLevel="0" collapsed="false">
      <c r="A53" s="1" t="s">
        <v>80</v>
      </c>
      <c r="B53" s="1" t="s">
        <v>485</v>
      </c>
      <c r="C53" s="1" t="n">
        <v>454203</v>
      </c>
      <c r="D53" s="1" t="n">
        <v>471514</v>
      </c>
      <c r="E53" s="1" t="n">
        <v>17311</v>
      </c>
      <c r="F53" s="1" t="n">
        <v>0.0381</v>
      </c>
    </row>
    <row r="54" customFormat="false" ht="15" hidden="false" customHeight="false" outlineLevel="0" collapsed="false">
      <c r="A54" s="1" t="s">
        <v>80</v>
      </c>
      <c r="B54" s="1" t="s">
        <v>486</v>
      </c>
      <c r="C54" s="1" t="n">
        <v>586202</v>
      </c>
      <c r="D54" s="1" t="n">
        <v>613070</v>
      </c>
      <c r="E54" s="1" t="n">
        <v>26869</v>
      </c>
      <c r="F54" s="1" t="n">
        <v>0.0458</v>
      </c>
    </row>
    <row r="55" customFormat="false" ht="15" hidden="false" customHeight="false" outlineLevel="0" collapsed="false">
      <c r="A55" s="1" t="s">
        <v>80</v>
      </c>
      <c r="B55" s="1" t="s">
        <v>487</v>
      </c>
      <c r="C55" s="1" t="n">
        <v>747479</v>
      </c>
      <c r="D55" s="1" t="n">
        <v>885653</v>
      </c>
      <c r="E55" s="1" t="n">
        <v>138175</v>
      </c>
      <c r="F55" s="1" t="n">
        <v>0.1849</v>
      </c>
    </row>
    <row r="56" customFormat="false" ht="15" hidden="false" customHeight="false" outlineLevel="0" collapsed="false">
      <c r="A56" s="1" t="s">
        <v>80</v>
      </c>
      <c r="B56" s="1" t="s">
        <v>488</v>
      </c>
      <c r="C56" s="1" t="n">
        <v>736889</v>
      </c>
      <c r="D56" s="1" t="n">
        <v>640135</v>
      </c>
      <c r="E56" s="1" t="n">
        <v>-96755</v>
      </c>
      <c r="F56" s="1" t="n">
        <v>-0.1313</v>
      </c>
    </row>
    <row r="57" customFormat="false" ht="15" hidden="false" customHeight="false" outlineLevel="0" collapsed="false">
      <c r="A57" s="1" t="s">
        <v>80</v>
      </c>
      <c r="B57" s="1" t="s">
        <v>489</v>
      </c>
      <c r="C57" s="1" t="n">
        <v>417601</v>
      </c>
      <c r="D57" s="1" t="n">
        <v>409285</v>
      </c>
      <c r="E57" s="1" t="n">
        <v>-8316</v>
      </c>
      <c r="F57" s="1" t="n">
        <v>-0.0199</v>
      </c>
    </row>
    <row r="58" customFormat="false" ht="15" hidden="false" customHeight="false" outlineLevel="0" collapsed="false">
      <c r="A58" s="1" t="s">
        <v>80</v>
      </c>
      <c r="B58" s="1" t="s">
        <v>490</v>
      </c>
      <c r="C58" s="1" t="n">
        <v>420750</v>
      </c>
      <c r="D58" s="1" t="n">
        <v>366091</v>
      </c>
      <c r="E58" s="1" t="n">
        <v>-54659</v>
      </c>
      <c r="F58" s="1" t="n">
        <v>-0.1299</v>
      </c>
    </row>
    <row r="59" customFormat="false" ht="15" hidden="false" customHeight="false" outlineLevel="0" collapsed="false">
      <c r="A59" s="1" t="s">
        <v>80</v>
      </c>
      <c r="B59" s="1" t="s">
        <v>491</v>
      </c>
      <c r="C59" s="1" t="n">
        <v>721008</v>
      </c>
      <c r="D59" s="1" t="n">
        <v>749849</v>
      </c>
      <c r="E59" s="1" t="n">
        <v>28841</v>
      </c>
      <c r="F59" s="1" t="n">
        <v>0.04</v>
      </c>
    </row>
    <row r="60" customFormat="false" ht="15" hidden="false" customHeight="false" outlineLevel="0" collapsed="false">
      <c r="A60" s="1" t="s">
        <v>80</v>
      </c>
      <c r="B60" s="1" t="s">
        <v>492</v>
      </c>
      <c r="C60" s="1" t="n">
        <v>495697</v>
      </c>
      <c r="D60" s="1" t="n">
        <v>512530</v>
      </c>
      <c r="E60" s="1" t="n">
        <v>16833</v>
      </c>
      <c r="F60" s="1" t="n">
        <v>0.034</v>
      </c>
    </row>
    <row r="61" customFormat="false" ht="15" hidden="false" customHeight="false" outlineLevel="0" collapsed="false">
      <c r="A61" s="1" t="s">
        <v>80</v>
      </c>
      <c r="B61" s="1" t="s">
        <v>493</v>
      </c>
      <c r="C61" s="1" t="n">
        <v>531306</v>
      </c>
      <c r="D61" s="1" t="n">
        <v>542882</v>
      </c>
      <c r="E61" s="1" t="n">
        <v>11576</v>
      </c>
      <c r="F61" s="1" t="n">
        <v>0.0218</v>
      </c>
    </row>
    <row r="62" customFormat="false" ht="15" hidden="false" customHeight="false" outlineLevel="0" collapsed="false">
      <c r="A62" s="1" t="s">
        <v>81</v>
      </c>
      <c r="B62" s="1" t="s">
        <v>482</v>
      </c>
      <c r="C62" s="1" t="n">
        <v>579006</v>
      </c>
      <c r="D62" s="1" t="n">
        <v>610124</v>
      </c>
      <c r="E62" s="1" t="n">
        <v>31118</v>
      </c>
      <c r="F62" s="1" t="n">
        <v>0.0537</v>
      </c>
    </row>
    <row r="63" customFormat="false" ht="15" hidden="false" customHeight="false" outlineLevel="0" collapsed="false">
      <c r="A63" s="1" t="s">
        <v>81</v>
      </c>
      <c r="B63" s="1" t="s">
        <v>483</v>
      </c>
      <c r="C63" s="1" t="n">
        <v>657507</v>
      </c>
      <c r="D63" s="1" t="n">
        <v>665761</v>
      </c>
      <c r="E63" s="1" t="n">
        <v>8253</v>
      </c>
      <c r="F63" s="1" t="n">
        <v>0.0126</v>
      </c>
    </row>
    <row r="64" customFormat="false" ht="15" hidden="false" customHeight="false" outlineLevel="0" collapsed="false">
      <c r="A64" s="1" t="s">
        <v>81</v>
      </c>
      <c r="B64" s="1" t="s">
        <v>484</v>
      </c>
      <c r="C64" s="1" t="n">
        <v>795354</v>
      </c>
      <c r="D64" s="1" t="n">
        <v>806934</v>
      </c>
      <c r="E64" s="1" t="n">
        <v>11580</v>
      </c>
      <c r="F64" s="1" t="n">
        <v>0.0146</v>
      </c>
    </row>
    <row r="65" customFormat="false" ht="15" hidden="false" customHeight="false" outlineLevel="0" collapsed="false">
      <c r="A65" s="1" t="s">
        <v>81</v>
      </c>
      <c r="B65" s="1" t="s">
        <v>485</v>
      </c>
      <c r="C65" s="1" t="n">
        <v>799472</v>
      </c>
      <c r="D65" s="1" t="n">
        <v>801617</v>
      </c>
      <c r="E65" s="1" t="n">
        <v>2145</v>
      </c>
      <c r="F65" s="1" t="n">
        <v>0.0027</v>
      </c>
    </row>
    <row r="66" customFormat="false" ht="15" hidden="false" customHeight="false" outlineLevel="0" collapsed="false">
      <c r="A66" s="1" t="s">
        <v>81</v>
      </c>
      <c r="B66" s="1" t="s">
        <v>486</v>
      </c>
      <c r="C66" s="1" t="n">
        <v>493656</v>
      </c>
      <c r="D66" s="1" t="n">
        <v>532139</v>
      </c>
      <c r="E66" s="1" t="n">
        <v>38483</v>
      </c>
      <c r="F66" s="1" t="n">
        <v>0.078</v>
      </c>
    </row>
    <row r="67" customFormat="false" ht="15" hidden="false" customHeight="false" outlineLevel="0" collapsed="false">
      <c r="A67" s="1" t="s">
        <v>81</v>
      </c>
      <c r="B67" s="1" t="s">
        <v>487</v>
      </c>
      <c r="C67" s="1" t="n">
        <v>658981</v>
      </c>
      <c r="D67" s="1" t="n">
        <v>676214</v>
      </c>
      <c r="E67" s="1" t="n">
        <v>17233</v>
      </c>
      <c r="F67" s="1" t="n">
        <v>0.0262</v>
      </c>
    </row>
    <row r="68" customFormat="false" ht="15" hidden="false" customHeight="false" outlineLevel="0" collapsed="false">
      <c r="A68" s="1" t="s">
        <v>81</v>
      </c>
      <c r="B68" s="1" t="s">
        <v>488</v>
      </c>
      <c r="C68" s="1" t="n">
        <v>448338</v>
      </c>
      <c r="D68" s="1" t="n">
        <v>411731</v>
      </c>
      <c r="E68" s="1" t="n">
        <v>-36606</v>
      </c>
      <c r="F68" s="1" t="n">
        <v>-0.0816</v>
      </c>
    </row>
    <row r="69" customFormat="false" ht="15" hidden="false" customHeight="false" outlineLevel="0" collapsed="false">
      <c r="A69" s="1" t="s">
        <v>81</v>
      </c>
      <c r="B69" s="1" t="s">
        <v>489</v>
      </c>
      <c r="C69" s="1" t="n">
        <v>569368</v>
      </c>
      <c r="D69" s="1" t="n">
        <v>630088</v>
      </c>
      <c r="E69" s="1" t="n">
        <v>60719</v>
      </c>
      <c r="F69" s="1" t="n">
        <v>0.1066</v>
      </c>
    </row>
    <row r="70" customFormat="false" ht="15" hidden="false" customHeight="false" outlineLevel="0" collapsed="false">
      <c r="A70" s="1" t="s">
        <v>81</v>
      </c>
      <c r="B70" s="1" t="s">
        <v>490</v>
      </c>
      <c r="C70" s="1" t="n">
        <v>554402</v>
      </c>
      <c r="D70" s="1" t="n">
        <v>551308</v>
      </c>
      <c r="E70" s="1" t="n">
        <v>-3094</v>
      </c>
      <c r="F70" s="1" t="n">
        <v>-0.0056</v>
      </c>
    </row>
    <row r="71" customFormat="false" ht="15" hidden="false" customHeight="false" outlineLevel="0" collapsed="false">
      <c r="A71" s="1" t="s">
        <v>81</v>
      </c>
      <c r="B71" s="1" t="s">
        <v>491</v>
      </c>
      <c r="C71" s="1" t="n">
        <v>591844</v>
      </c>
      <c r="D71" s="1" t="n">
        <v>655559</v>
      </c>
      <c r="E71" s="1" t="n">
        <v>63715</v>
      </c>
      <c r="F71" s="1" t="n">
        <v>0.1077</v>
      </c>
    </row>
    <row r="72" customFormat="false" ht="15" hidden="false" customHeight="false" outlineLevel="0" collapsed="false">
      <c r="A72" s="1" t="s">
        <v>81</v>
      </c>
      <c r="B72" s="1" t="s">
        <v>492</v>
      </c>
      <c r="C72" s="1" t="n">
        <v>743766</v>
      </c>
      <c r="D72" s="1" t="n">
        <v>781100</v>
      </c>
      <c r="E72" s="1" t="n">
        <v>37334</v>
      </c>
      <c r="F72" s="1" t="n">
        <v>0.0502</v>
      </c>
    </row>
    <row r="73" customFormat="false" ht="15" hidden="false" customHeight="false" outlineLevel="0" collapsed="false">
      <c r="A73" s="1" t="s">
        <v>81</v>
      </c>
      <c r="B73" s="1" t="s">
        <v>493</v>
      </c>
      <c r="C73" s="1" t="n">
        <v>395566</v>
      </c>
      <c r="D73" s="1" t="n">
        <v>392161</v>
      </c>
      <c r="E73" s="1" t="n">
        <v>-3404</v>
      </c>
      <c r="F73" s="1" t="n">
        <v>-0.0086</v>
      </c>
    </row>
    <row r="74" customFormat="false" ht="15" hidden="false" customHeight="false" outlineLevel="0" collapsed="false">
      <c r="A74" s="1" t="s">
        <v>82</v>
      </c>
      <c r="B74" s="1" t="s">
        <v>482</v>
      </c>
      <c r="C74" s="1" t="n">
        <v>306237</v>
      </c>
      <c r="D74" s="1" t="n">
        <v>312562</v>
      </c>
      <c r="E74" s="1" t="n">
        <v>6325</v>
      </c>
      <c r="F74" s="1" t="n">
        <v>0.0207</v>
      </c>
    </row>
    <row r="75" customFormat="false" ht="15" hidden="false" customHeight="false" outlineLevel="0" collapsed="false">
      <c r="A75" s="1" t="s">
        <v>82</v>
      </c>
      <c r="B75" s="1" t="s">
        <v>483</v>
      </c>
      <c r="C75" s="1" t="n">
        <v>465846</v>
      </c>
      <c r="D75" s="1" t="n">
        <v>429307</v>
      </c>
      <c r="E75" s="1" t="n">
        <v>-36539</v>
      </c>
      <c r="F75" s="1" t="n">
        <v>-0.0784</v>
      </c>
    </row>
    <row r="76" customFormat="false" ht="15" hidden="false" customHeight="false" outlineLevel="0" collapsed="false">
      <c r="A76" s="1" t="s">
        <v>82</v>
      </c>
      <c r="B76" s="1" t="s">
        <v>484</v>
      </c>
      <c r="C76" s="1" t="n">
        <v>660496</v>
      </c>
      <c r="D76" s="1" t="n">
        <v>639974</v>
      </c>
      <c r="E76" s="1" t="n">
        <v>-20522</v>
      </c>
      <c r="F76" s="1" t="n">
        <v>-0.0311</v>
      </c>
    </row>
    <row r="77" customFormat="false" ht="15" hidden="false" customHeight="false" outlineLevel="0" collapsed="false">
      <c r="A77" s="1" t="s">
        <v>82</v>
      </c>
      <c r="B77" s="1" t="s">
        <v>485</v>
      </c>
      <c r="C77" s="1" t="n">
        <v>318329</v>
      </c>
      <c r="D77" s="1" t="n">
        <v>333617</v>
      </c>
      <c r="E77" s="1" t="n">
        <v>15288</v>
      </c>
      <c r="F77" s="1" t="n">
        <v>0.048</v>
      </c>
    </row>
    <row r="78" customFormat="false" ht="15" hidden="false" customHeight="false" outlineLevel="0" collapsed="false">
      <c r="A78" s="1" t="s">
        <v>82</v>
      </c>
      <c r="B78" s="1" t="s">
        <v>486</v>
      </c>
      <c r="C78" s="1" t="n">
        <v>626219</v>
      </c>
      <c r="D78" s="1" t="n">
        <v>758100</v>
      </c>
      <c r="E78" s="1" t="n">
        <v>131881</v>
      </c>
      <c r="F78" s="1" t="n">
        <v>0.2106</v>
      </c>
    </row>
    <row r="79" customFormat="false" ht="15" hidden="false" customHeight="false" outlineLevel="0" collapsed="false">
      <c r="A79" s="1" t="s">
        <v>82</v>
      </c>
      <c r="B79" s="1" t="s">
        <v>487</v>
      </c>
      <c r="C79" s="1" t="n">
        <v>624097</v>
      </c>
      <c r="D79" s="1" t="n">
        <v>633303</v>
      </c>
      <c r="E79" s="1" t="n">
        <v>9206</v>
      </c>
      <c r="F79" s="1" t="n">
        <v>0.0148</v>
      </c>
    </row>
    <row r="80" customFormat="false" ht="15" hidden="false" customHeight="false" outlineLevel="0" collapsed="false">
      <c r="A80" s="1" t="s">
        <v>82</v>
      </c>
      <c r="B80" s="1" t="s">
        <v>488</v>
      </c>
      <c r="C80" s="1" t="n">
        <v>532536</v>
      </c>
      <c r="D80" s="1" t="n">
        <v>528741</v>
      </c>
      <c r="E80" s="1" t="n">
        <v>-3795</v>
      </c>
      <c r="F80" s="1" t="n">
        <v>-0.0071</v>
      </c>
    </row>
    <row r="81" customFormat="false" ht="15" hidden="false" customHeight="false" outlineLevel="0" collapsed="false">
      <c r="A81" s="1" t="s">
        <v>82</v>
      </c>
      <c r="B81" s="1" t="s">
        <v>489</v>
      </c>
      <c r="C81" s="1" t="n">
        <v>567171</v>
      </c>
      <c r="D81" s="1" t="n">
        <v>528026</v>
      </c>
      <c r="E81" s="1" t="n">
        <v>-39145</v>
      </c>
      <c r="F81" s="1" t="n">
        <v>-0.069</v>
      </c>
    </row>
    <row r="82" customFormat="false" ht="15" hidden="false" customHeight="false" outlineLevel="0" collapsed="false">
      <c r="A82" s="1" t="s">
        <v>82</v>
      </c>
      <c r="B82" s="1" t="s">
        <v>490</v>
      </c>
      <c r="C82" s="1" t="n">
        <v>305440</v>
      </c>
      <c r="D82" s="1" t="n">
        <v>248498</v>
      </c>
      <c r="E82" s="1" t="n">
        <v>-56942</v>
      </c>
      <c r="F82" s="1" t="n">
        <v>-0.1864</v>
      </c>
    </row>
    <row r="83" customFormat="false" ht="15" hidden="false" customHeight="false" outlineLevel="0" collapsed="false">
      <c r="A83" s="1" t="s">
        <v>82</v>
      </c>
      <c r="B83" s="1" t="s">
        <v>491</v>
      </c>
      <c r="C83" s="1" t="n">
        <v>783001</v>
      </c>
      <c r="D83" s="1" t="n">
        <v>713873</v>
      </c>
      <c r="E83" s="1" t="n">
        <v>-69128</v>
      </c>
      <c r="F83" s="1" t="n">
        <v>-0.0883</v>
      </c>
    </row>
    <row r="84" customFormat="false" ht="15" hidden="false" customHeight="false" outlineLevel="0" collapsed="false">
      <c r="A84" s="1" t="s">
        <v>82</v>
      </c>
      <c r="B84" s="1" t="s">
        <v>492</v>
      </c>
      <c r="C84" s="1" t="n">
        <v>719159</v>
      </c>
      <c r="D84" s="1" t="n">
        <v>763490</v>
      </c>
      <c r="E84" s="1" t="n">
        <v>44331</v>
      </c>
      <c r="F84" s="1" t="n">
        <v>0.0616</v>
      </c>
    </row>
    <row r="85" customFormat="false" ht="15" hidden="false" customHeight="false" outlineLevel="0" collapsed="false">
      <c r="A85" s="1" t="s">
        <v>82</v>
      </c>
      <c r="B85" s="1" t="s">
        <v>493</v>
      </c>
      <c r="C85" s="1" t="n">
        <v>645356</v>
      </c>
      <c r="D85" s="1" t="n">
        <v>690867</v>
      </c>
      <c r="E85" s="1" t="n">
        <v>45511</v>
      </c>
      <c r="F85" s="1" t="n">
        <v>0.0705</v>
      </c>
    </row>
    <row r="86" customFormat="false" ht="15" hidden="false" customHeight="false" outlineLevel="0" collapsed="false">
      <c r="A86" s="1" t="s">
        <v>83</v>
      </c>
      <c r="B86" s="1" t="s">
        <v>482</v>
      </c>
      <c r="C86" s="1" t="n">
        <v>578213</v>
      </c>
      <c r="D86" s="1" t="n">
        <v>600086</v>
      </c>
      <c r="E86" s="1" t="n">
        <v>21873</v>
      </c>
      <c r="F86" s="1" t="n">
        <v>0.0378</v>
      </c>
    </row>
    <row r="87" customFormat="false" ht="15" hidden="false" customHeight="false" outlineLevel="0" collapsed="false">
      <c r="A87" s="1" t="s">
        <v>83</v>
      </c>
      <c r="B87" s="1" t="s">
        <v>483</v>
      </c>
      <c r="C87" s="1" t="n">
        <v>570859</v>
      </c>
      <c r="D87" s="1" t="n">
        <v>661377</v>
      </c>
      <c r="E87" s="1" t="n">
        <v>90518</v>
      </c>
      <c r="F87" s="1" t="n">
        <v>0.1586</v>
      </c>
    </row>
    <row r="88" customFormat="false" ht="15" hidden="false" customHeight="false" outlineLevel="0" collapsed="false">
      <c r="A88" s="1" t="s">
        <v>83</v>
      </c>
      <c r="B88" s="1" t="s">
        <v>484</v>
      </c>
      <c r="C88" s="1" t="n">
        <v>378857</v>
      </c>
      <c r="D88" s="1" t="n">
        <v>317761</v>
      </c>
      <c r="E88" s="1" t="n">
        <v>-61096</v>
      </c>
      <c r="F88" s="1" t="n">
        <v>-0.1613</v>
      </c>
    </row>
    <row r="89" customFormat="false" ht="15" hidden="false" customHeight="false" outlineLevel="0" collapsed="false">
      <c r="A89" s="1" t="s">
        <v>83</v>
      </c>
      <c r="B89" s="1" t="s">
        <v>485</v>
      </c>
      <c r="C89" s="1" t="n">
        <v>457187</v>
      </c>
      <c r="D89" s="1" t="n">
        <v>482312</v>
      </c>
      <c r="E89" s="1" t="n">
        <v>25125</v>
      </c>
      <c r="F89" s="1" t="n">
        <v>0.055</v>
      </c>
    </row>
    <row r="90" customFormat="false" ht="15" hidden="false" customHeight="false" outlineLevel="0" collapsed="false">
      <c r="A90" s="1" t="s">
        <v>83</v>
      </c>
      <c r="B90" s="1" t="s">
        <v>486</v>
      </c>
      <c r="C90" s="1" t="n">
        <v>469644</v>
      </c>
      <c r="D90" s="1" t="n">
        <v>537729</v>
      </c>
      <c r="E90" s="1" t="n">
        <v>68085</v>
      </c>
      <c r="F90" s="1" t="n">
        <v>0.145</v>
      </c>
    </row>
    <row r="91" customFormat="false" ht="15" hidden="false" customHeight="false" outlineLevel="0" collapsed="false">
      <c r="A91" s="1" t="s">
        <v>83</v>
      </c>
      <c r="B91" s="1" t="s">
        <v>487</v>
      </c>
      <c r="C91" s="1" t="n">
        <v>600596</v>
      </c>
      <c r="D91" s="1" t="n">
        <v>550074</v>
      </c>
      <c r="E91" s="1" t="n">
        <v>-50522</v>
      </c>
      <c r="F91" s="1" t="n">
        <v>-0.0841</v>
      </c>
    </row>
    <row r="92" customFormat="false" ht="15" hidden="false" customHeight="false" outlineLevel="0" collapsed="false">
      <c r="A92" s="1" t="s">
        <v>83</v>
      </c>
      <c r="B92" s="1" t="s">
        <v>488</v>
      </c>
      <c r="C92" s="1" t="n">
        <v>341146</v>
      </c>
      <c r="D92" s="1" t="n">
        <v>333607</v>
      </c>
      <c r="E92" s="1" t="n">
        <v>-7539</v>
      </c>
      <c r="F92" s="1" t="n">
        <v>-0.0221</v>
      </c>
    </row>
    <row r="93" customFormat="false" ht="15" hidden="false" customHeight="false" outlineLevel="0" collapsed="false">
      <c r="A93" s="1" t="s">
        <v>83</v>
      </c>
      <c r="B93" s="1" t="s">
        <v>489</v>
      </c>
      <c r="C93" s="1" t="n">
        <v>445653</v>
      </c>
      <c r="D93" s="1" t="n">
        <v>464928</v>
      </c>
      <c r="E93" s="1" t="n">
        <v>19274</v>
      </c>
      <c r="F93" s="1" t="n">
        <v>0.0432</v>
      </c>
    </row>
    <row r="94" customFormat="false" ht="15" hidden="false" customHeight="false" outlineLevel="0" collapsed="false">
      <c r="A94" s="1" t="s">
        <v>83</v>
      </c>
      <c r="B94" s="1" t="s">
        <v>490</v>
      </c>
      <c r="C94" s="1" t="n">
        <v>809850</v>
      </c>
      <c r="D94" s="1" t="n">
        <v>737352</v>
      </c>
      <c r="E94" s="1" t="n">
        <v>-72498</v>
      </c>
      <c r="F94" s="1" t="n">
        <v>-0.0895</v>
      </c>
    </row>
    <row r="95" customFormat="false" ht="15" hidden="false" customHeight="false" outlineLevel="0" collapsed="false">
      <c r="A95" s="1" t="s">
        <v>83</v>
      </c>
      <c r="B95" s="1" t="s">
        <v>491</v>
      </c>
      <c r="C95" s="1" t="n">
        <v>736427</v>
      </c>
      <c r="D95" s="1" t="n">
        <v>788573</v>
      </c>
      <c r="E95" s="1" t="n">
        <v>52145</v>
      </c>
      <c r="F95" s="1" t="n">
        <v>0.0708</v>
      </c>
    </row>
    <row r="96" customFormat="false" ht="15" hidden="false" customHeight="false" outlineLevel="0" collapsed="false">
      <c r="A96" s="1" t="s">
        <v>83</v>
      </c>
      <c r="B96" s="1" t="s">
        <v>492</v>
      </c>
      <c r="C96" s="1" t="n">
        <v>448878</v>
      </c>
      <c r="D96" s="1" t="n">
        <v>463661</v>
      </c>
      <c r="E96" s="1" t="n">
        <v>14783</v>
      </c>
      <c r="F96" s="1" t="n">
        <v>0.0329</v>
      </c>
    </row>
    <row r="97" customFormat="false" ht="15" hidden="false" customHeight="false" outlineLevel="0" collapsed="false">
      <c r="A97" s="1" t="s">
        <v>83</v>
      </c>
      <c r="B97" s="1" t="s">
        <v>493</v>
      </c>
      <c r="C97" s="1" t="n">
        <v>452740</v>
      </c>
      <c r="D97" s="1" t="n">
        <v>486686</v>
      </c>
      <c r="E97" s="1" t="n">
        <v>33945</v>
      </c>
      <c r="F97" s="1" t="n">
        <v>0.075</v>
      </c>
    </row>
    <row r="98" customFormat="false" ht="15" hidden="false" customHeight="false" outlineLevel="0" collapsed="false">
      <c r="A98" s="1" t="s">
        <v>84</v>
      </c>
      <c r="B98" s="1" t="s">
        <v>482</v>
      </c>
      <c r="C98" s="1" t="n">
        <v>361412</v>
      </c>
      <c r="D98" s="1" t="n">
        <v>332692</v>
      </c>
      <c r="E98" s="1" t="n">
        <v>-28719</v>
      </c>
      <c r="F98" s="1" t="n">
        <v>-0.0795</v>
      </c>
    </row>
    <row r="99" customFormat="false" ht="15" hidden="false" customHeight="false" outlineLevel="0" collapsed="false">
      <c r="A99" s="1" t="s">
        <v>84</v>
      </c>
      <c r="B99" s="1" t="s">
        <v>483</v>
      </c>
      <c r="C99" s="1" t="n">
        <v>390522</v>
      </c>
      <c r="D99" s="1" t="n">
        <v>397633</v>
      </c>
      <c r="E99" s="1" t="n">
        <v>7111</v>
      </c>
      <c r="F99" s="1" t="n">
        <v>0.0182</v>
      </c>
    </row>
    <row r="100" customFormat="false" ht="15" hidden="false" customHeight="false" outlineLevel="0" collapsed="false">
      <c r="A100" s="1" t="s">
        <v>84</v>
      </c>
      <c r="B100" s="1" t="s">
        <v>484</v>
      </c>
      <c r="C100" s="1" t="n">
        <v>546470</v>
      </c>
      <c r="D100" s="1" t="n">
        <v>481446</v>
      </c>
      <c r="E100" s="1" t="n">
        <v>-65024</v>
      </c>
      <c r="F100" s="1" t="n">
        <v>-0.119</v>
      </c>
    </row>
    <row r="101" customFormat="false" ht="15" hidden="false" customHeight="false" outlineLevel="0" collapsed="false">
      <c r="A101" s="1" t="s">
        <v>84</v>
      </c>
      <c r="B101" s="1" t="s">
        <v>485</v>
      </c>
      <c r="C101" s="1" t="n">
        <v>498469</v>
      </c>
      <c r="D101" s="1" t="n">
        <v>441559</v>
      </c>
      <c r="E101" s="1" t="n">
        <v>-56910</v>
      </c>
      <c r="F101" s="1" t="n">
        <v>-0.1142</v>
      </c>
    </row>
    <row r="102" customFormat="false" ht="15" hidden="false" customHeight="false" outlineLevel="0" collapsed="false">
      <c r="A102" s="1" t="s">
        <v>84</v>
      </c>
      <c r="B102" s="1" t="s">
        <v>486</v>
      </c>
      <c r="C102" s="1" t="n">
        <v>693438</v>
      </c>
      <c r="D102" s="1" t="n">
        <v>764969</v>
      </c>
      <c r="E102" s="1" t="n">
        <v>71531</v>
      </c>
      <c r="F102" s="1" t="n">
        <v>0.1032</v>
      </c>
    </row>
    <row r="103" customFormat="false" ht="15" hidden="false" customHeight="false" outlineLevel="0" collapsed="false">
      <c r="A103" s="1" t="s">
        <v>84</v>
      </c>
      <c r="B103" s="1" t="s">
        <v>487</v>
      </c>
      <c r="C103" s="1" t="n">
        <v>588551</v>
      </c>
      <c r="D103" s="1" t="n">
        <v>582083</v>
      </c>
      <c r="E103" s="1" t="n">
        <v>-6468</v>
      </c>
      <c r="F103" s="1" t="n">
        <v>-0.011</v>
      </c>
    </row>
    <row r="104" customFormat="false" ht="15" hidden="false" customHeight="false" outlineLevel="0" collapsed="false">
      <c r="A104" s="1" t="s">
        <v>84</v>
      </c>
      <c r="B104" s="1" t="s">
        <v>488</v>
      </c>
      <c r="C104" s="1" t="n">
        <v>786081</v>
      </c>
      <c r="D104" s="1" t="n">
        <v>759164</v>
      </c>
      <c r="E104" s="1" t="n">
        <v>-26916</v>
      </c>
      <c r="F104" s="1" t="n">
        <v>-0.0342</v>
      </c>
    </row>
    <row r="105" customFormat="false" ht="15" hidden="false" customHeight="false" outlineLevel="0" collapsed="false">
      <c r="A105" s="1" t="s">
        <v>84</v>
      </c>
      <c r="B105" s="1" t="s">
        <v>489</v>
      </c>
      <c r="C105" s="1" t="n">
        <v>285616</v>
      </c>
      <c r="D105" s="1" t="n">
        <v>252647</v>
      </c>
      <c r="E105" s="1" t="n">
        <v>-32969</v>
      </c>
      <c r="F105" s="1" t="n">
        <v>-0.1154</v>
      </c>
    </row>
    <row r="106" customFormat="false" ht="15" hidden="false" customHeight="false" outlineLevel="0" collapsed="false">
      <c r="A106" s="1" t="s">
        <v>84</v>
      </c>
      <c r="B106" s="1" t="s">
        <v>490</v>
      </c>
      <c r="C106" s="1" t="n">
        <v>305356</v>
      </c>
      <c r="D106" s="1" t="n">
        <v>301760</v>
      </c>
      <c r="E106" s="1" t="n">
        <v>-3595</v>
      </c>
      <c r="F106" s="1" t="n">
        <v>-0.0118</v>
      </c>
    </row>
    <row r="107" customFormat="false" ht="15" hidden="false" customHeight="false" outlineLevel="0" collapsed="false">
      <c r="A107" s="1" t="s">
        <v>84</v>
      </c>
      <c r="B107" s="1" t="s">
        <v>491</v>
      </c>
      <c r="C107" s="1" t="n">
        <v>567847</v>
      </c>
      <c r="D107" s="1" t="n">
        <v>581422</v>
      </c>
      <c r="E107" s="1" t="n">
        <v>13575</v>
      </c>
      <c r="F107" s="1" t="n">
        <v>0.0239</v>
      </c>
    </row>
    <row r="108" customFormat="false" ht="15" hidden="false" customHeight="false" outlineLevel="0" collapsed="false">
      <c r="A108" s="1" t="s">
        <v>84</v>
      </c>
      <c r="B108" s="1" t="s">
        <v>492</v>
      </c>
      <c r="C108" s="1" t="n">
        <v>724607</v>
      </c>
      <c r="D108" s="1" t="n">
        <v>716809</v>
      </c>
      <c r="E108" s="1" t="n">
        <v>-7799</v>
      </c>
      <c r="F108" s="1" t="n">
        <v>-0.0108</v>
      </c>
    </row>
    <row r="109" customFormat="false" ht="15" hidden="false" customHeight="false" outlineLevel="0" collapsed="false">
      <c r="A109" s="1" t="s">
        <v>84</v>
      </c>
      <c r="B109" s="1" t="s">
        <v>493</v>
      </c>
      <c r="C109" s="1" t="n">
        <v>302639</v>
      </c>
      <c r="D109" s="1" t="n">
        <v>295264</v>
      </c>
      <c r="E109" s="1" t="n">
        <v>-7374</v>
      </c>
      <c r="F109" s="1" t="n">
        <v>-0.0244</v>
      </c>
    </row>
    <row r="110" customFormat="false" ht="15" hidden="false" customHeight="false" outlineLevel="0" collapsed="false">
      <c r="A110" s="1" t="s">
        <v>85</v>
      </c>
      <c r="B110" s="1" t="s">
        <v>482</v>
      </c>
      <c r="C110" s="1" t="n">
        <v>597753</v>
      </c>
      <c r="D110" s="1" t="n">
        <v>476024</v>
      </c>
      <c r="E110" s="1" t="n">
        <v>-121729</v>
      </c>
      <c r="F110" s="1" t="n">
        <v>-0.2036</v>
      </c>
    </row>
    <row r="111" customFormat="false" ht="15" hidden="false" customHeight="false" outlineLevel="0" collapsed="false">
      <c r="A111" s="1" t="s">
        <v>85</v>
      </c>
      <c r="B111" s="1" t="s">
        <v>483</v>
      </c>
      <c r="C111" s="1" t="n">
        <v>569472</v>
      </c>
      <c r="D111" s="1" t="n">
        <v>563894</v>
      </c>
      <c r="E111" s="1" t="n">
        <v>-5578</v>
      </c>
      <c r="F111" s="1" t="n">
        <v>-0.0098</v>
      </c>
    </row>
    <row r="112" customFormat="false" ht="15" hidden="false" customHeight="false" outlineLevel="0" collapsed="false">
      <c r="A112" s="1" t="s">
        <v>85</v>
      </c>
      <c r="B112" s="1" t="s">
        <v>484</v>
      </c>
      <c r="C112" s="1" t="n">
        <v>641979</v>
      </c>
      <c r="D112" s="1" t="n">
        <v>685338</v>
      </c>
      <c r="E112" s="1" t="n">
        <v>43359</v>
      </c>
      <c r="F112" s="1" t="n">
        <v>0.0675</v>
      </c>
    </row>
    <row r="113" customFormat="false" ht="15" hidden="false" customHeight="false" outlineLevel="0" collapsed="false">
      <c r="A113" s="1" t="s">
        <v>85</v>
      </c>
      <c r="B113" s="1" t="s">
        <v>485</v>
      </c>
      <c r="C113" s="1" t="n">
        <v>688071</v>
      </c>
      <c r="D113" s="1" t="n">
        <v>732046</v>
      </c>
      <c r="E113" s="1" t="n">
        <v>43974</v>
      </c>
      <c r="F113" s="1" t="n">
        <v>0.0639</v>
      </c>
    </row>
    <row r="114" customFormat="false" ht="15" hidden="false" customHeight="false" outlineLevel="0" collapsed="false">
      <c r="A114" s="1" t="s">
        <v>85</v>
      </c>
      <c r="B114" s="1" t="s">
        <v>486</v>
      </c>
      <c r="C114" s="1" t="n">
        <v>637946</v>
      </c>
      <c r="D114" s="1" t="n">
        <v>692080</v>
      </c>
      <c r="E114" s="1" t="n">
        <v>54134</v>
      </c>
      <c r="F114" s="1" t="n">
        <v>0.0849</v>
      </c>
    </row>
    <row r="115" customFormat="false" ht="15" hidden="false" customHeight="false" outlineLevel="0" collapsed="false">
      <c r="A115" s="1" t="s">
        <v>85</v>
      </c>
      <c r="B115" s="1" t="s">
        <v>487</v>
      </c>
      <c r="C115" s="1" t="n">
        <v>306224</v>
      </c>
      <c r="D115" s="1" t="n">
        <v>323501</v>
      </c>
      <c r="E115" s="1" t="n">
        <v>17277</v>
      </c>
      <c r="F115" s="1" t="n">
        <v>0.0564</v>
      </c>
    </row>
    <row r="116" customFormat="false" ht="15" hidden="false" customHeight="false" outlineLevel="0" collapsed="false">
      <c r="A116" s="1" t="s">
        <v>85</v>
      </c>
      <c r="B116" s="1" t="s">
        <v>488</v>
      </c>
      <c r="C116" s="1" t="n">
        <v>437478</v>
      </c>
      <c r="D116" s="1" t="n">
        <v>410994</v>
      </c>
      <c r="E116" s="1" t="n">
        <v>-26484</v>
      </c>
      <c r="F116" s="1" t="n">
        <v>-0.0605</v>
      </c>
    </row>
    <row r="117" customFormat="false" ht="15" hidden="false" customHeight="false" outlineLevel="0" collapsed="false">
      <c r="A117" s="1" t="s">
        <v>85</v>
      </c>
      <c r="B117" s="1" t="s">
        <v>489</v>
      </c>
      <c r="C117" s="1" t="n">
        <v>320112</v>
      </c>
      <c r="D117" s="1" t="n">
        <v>333315</v>
      </c>
      <c r="E117" s="1" t="n">
        <v>13203</v>
      </c>
      <c r="F117" s="1" t="n">
        <v>0.0412</v>
      </c>
    </row>
    <row r="118" customFormat="false" ht="15" hidden="false" customHeight="false" outlineLevel="0" collapsed="false">
      <c r="A118" s="1" t="s">
        <v>85</v>
      </c>
      <c r="B118" s="1" t="s">
        <v>490</v>
      </c>
      <c r="C118" s="1" t="n">
        <v>690327</v>
      </c>
      <c r="D118" s="1" t="n">
        <v>641436</v>
      </c>
      <c r="E118" s="1" t="n">
        <v>-48891</v>
      </c>
      <c r="F118" s="1" t="n">
        <v>-0.0708</v>
      </c>
    </row>
    <row r="119" customFormat="false" ht="15" hidden="false" customHeight="false" outlineLevel="0" collapsed="false">
      <c r="A119" s="1" t="s">
        <v>85</v>
      </c>
      <c r="B119" s="1" t="s">
        <v>491</v>
      </c>
      <c r="C119" s="1" t="n">
        <v>475626</v>
      </c>
      <c r="D119" s="1" t="n">
        <v>532687</v>
      </c>
      <c r="E119" s="1" t="n">
        <v>57061</v>
      </c>
      <c r="F119" s="1" t="n">
        <v>0.12</v>
      </c>
    </row>
    <row r="120" customFormat="false" ht="15" hidden="false" customHeight="false" outlineLevel="0" collapsed="false">
      <c r="A120" s="1" t="s">
        <v>85</v>
      </c>
      <c r="B120" s="1" t="s">
        <v>492</v>
      </c>
      <c r="C120" s="1" t="n">
        <v>467159</v>
      </c>
      <c r="D120" s="1" t="n">
        <v>431568</v>
      </c>
      <c r="E120" s="1" t="n">
        <v>-35590</v>
      </c>
      <c r="F120" s="1" t="n">
        <v>-0.0762</v>
      </c>
    </row>
    <row r="121" customFormat="false" ht="15" hidden="false" customHeight="false" outlineLevel="0" collapsed="false">
      <c r="A121" s="1" t="s">
        <v>85</v>
      </c>
      <c r="B121" s="1" t="s">
        <v>493</v>
      </c>
      <c r="C121" s="1" t="n">
        <v>749932</v>
      </c>
      <c r="D121" s="1" t="n">
        <v>797999</v>
      </c>
      <c r="E121" s="1" t="n">
        <v>48068</v>
      </c>
      <c r="F121" s="1" t="n">
        <v>0.0641</v>
      </c>
    </row>
    <row r="122" customFormat="false" ht="15" hidden="false" customHeight="false" outlineLevel="0" collapsed="false">
      <c r="A122" s="1" t="s">
        <v>86</v>
      </c>
      <c r="B122" s="1" t="s">
        <v>482</v>
      </c>
      <c r="C122" s="1" t="n">
        <v>387230</v>
      </c>
      <c r="D122" s="1" t="n">
        <v>370225</v>
      </c>
      <c r="E122" s="1" t="n">
        <v>-17005</v>
      </c>
      <c r="F122" s="1" t="n">
        <v>-0.0439</v>
      </c>
    </row>
    <row r="123" customFormat="false" ht="15" hidden="false" customHeight="false" outlineLevel="0" collapsed="false">
      <c r="A123" s="1" t="s">
        <v>86</v>
      </c>
      <c r="B123" s="1" t="s">
        <v>483</v>
      </c>
      <c r="C123" s="1" t="n">
        <v>429352</v>
      </c>
      <c r="D123" s="1" t="n">
        <v>398578</v>
      </c>
      <c r="E123" s="1" t="n">
        <v>-30774</v>
      </c>
      <c r="F123" s="1" t="n">
        <v>-0.0717</v>
      </c>
    </row>
    <row r="124" customFormat="false" ht="15" hidden="false" customHeight="false" outlineLevel="0" collapsed="false">
      <c r="A124" s="1" t="s">
        <v>86</v>
      </c>
      <c r="B124" s="1" t="s">
        <v>484</v>
      </c>
      <c r="C124" s="1" t="n">
        <v>460979</v>
      </c>
      <c r="D124" s="1" t="n">
        <v>439615</v>
      </c>
      <c r="E124" s="1" t="n">
        <v>-21364</v>
      </c>
      <c r="F124" s="1" t="n">
        <v>-0.0463</v>
      </c>
    </row>
    <row r="125" customFormat="false" ht="15" hidden="false" customHeight="false" outlineLevel="0" collapsed="false">
      <c r="A125" s="1" t="s">
        <v>86</v>
      </c>
      <c r="B125" s="1" t="s">
        <v>485</v>
      </c>
      <c r="C125" s="1" t="n">
        <v>674719</v>
      </c>
      <c r="D125" s="1" t="n">
        <v>730573</v>
      </c>
      <c r="E125" s="1" t="n">
        <v>55854</v>
      </c>
      <c r="F125" s="1" t="n">
        <v>0.0828</v>
      </c>
    </row>
    <row r="126" customFormat="false" ht="15" hidden="false" customHeight="false" outlineLevel="0" collapsed="false">
      <c r="A126" s="1" t="s">
        <v>86</v>
      </c>
      <c r="B126" s="1" t="s">
        <v>486</v>
      </c>
      <c r="C126" s="1" t="n">
        <v>307937</v>
      </c>
      <c r="D126" s="1" t="n">
        <v>325740</v>
      </c>
      <c r="E126" s="1" t="n">
        <v>17803</v>
      </c>
      <c r="F126" s="1" t="n">
        <v>0.0578</v>
      </c>
    </row>
    <row r="127" customFormat="false" ht="15" hidden="false" customHeight="false" outlineLevel="0" collapsed="false">
      <c r="A127" s="1" t="s">
        <v>86</v>
      </c>
      <c r="B127" s="1" t="s">
        <v>487</v>
      </c>
      <c r="C127" s="1" t="n">
        <v>830492</v>
      </c>
      <c r="D127" s="1" t="n">
        <v>886016</v>
      </c>
      <c r="E127" s="1" t="n">
        <v>55524</v>
      </c>
      <c r="F127" s="1" t="n">
        <v>0.0669</v>
      </c>
    </row>
    <row r="128" customFormat="false" ht="15" hidden="false" customHeight="false" outlineLevel="0" collapsed="false">
      <c r="A128" s="1" t="s">
        <v>86</v>
      </c>
      <c r="B128" s="1" t="s">
        <v>488</v>
      </c>
      <c r="C128" s="1" t="n">
        <v>705855</v>
      </c>
      <c r="D128" s="1" t="n">
        <v>619941</v>
      </c>
      <c r="E128" s="1" t="n">
        <v>-85914</v>
      </c>
      <c r="F128" s="1" t="n">
        <v>-0.1217</v>
      </c>
    </row>
    <row r="129" customFormat="false" ht="15" hidden="false" customHeight="false" outlineLevel="0" collapsed="false">
      <c r="A129" s="1" t="s">
        <v>86</v>
      </c>
      <c r="B129" s="1" t="s">
        <v>489</v>
      </c>
      <c r="C129" s="1" t="n">
        <v>673170</v>
      </c>
      <c r="D129" s="1" t="n">
        <v>600481</v>
      </c>
      <c r="E129" s="1" t="n">
        <v>-72688</v>
      </c>
      <c r="F129" s="1" t="n">
        <v>-0.108</v>
      </c>
    </row>
    <row r="130" customFormat="false" ht="15" hidden="false" customHeight="false" outlineLevel="0" collapsed="false">
      <c r="A130" s="1" t="s">
        <v>86</v>
      </c>
      <c r="B130" s="1" t="s">
        <v>490</v>
      </c>
      <c r="C130" s="1" t="n">
        <v>696595</v>
      </c>
      <c r="D130" s="1" t="n">
        <v>643234</v>
      </c>
      <c r="E130" s="1" t="n">
        <v>-53361</v>
      </c>
      <c r="F130" s="1" t="n">
        <v>-0.0766</v>
      </c>
    </row>
    <row r="131" customFormat="false" ht="15" hidden="false" customHeight="false" outlineLevel="0" collapsed="false">
      <c r="A131" s="1" t="s">
        <v>86</v>
      </c>
      <c r="B131" s="1" t="s">
        <v>491</v>
      </c>
      <c r="C131" s="1" t="n">
        <v>370713</v>
      </c>
      <c r="D131" s="1" t="n">
        <v>376312</v>
      </c>
      <c r="E131" s="1" t="n">
        <v>5599</v>
      </c>
      <c r="F131" s="1" t="n">
        <v>0.0151</v>
      </c>
    </row>
    <row r="132" customFormat="false" ht="15" hidden="false" customHeight="false" outlineLevel="0" collapsed="false">
      <c r="A132" s="1" t="s">
        <v>86</v>
      </c>
      <c r="B132" s="1" t="s">
        <v>492</v>
      </c>
      <c r="C132" s="1" t="n">
        <v>824355</v>
      </c>
      <c r="D132" s="1" t="n">
        <v>821520</v>
      </c>
      <c r="E132" s="1" t="n">
        <v>-2835</v>
      </c>
      <c r="F132" s="1" t="n">
        <v>-0.0034</v>
      </c>
    </row>
    <row r="133" customFormat="false" ht="15" hidden="false" customHeight="false" outlineLevel="0" collapsed="false">
      <c r="A133" s="1" t="s">
        <v>86</v>
      </c>
      <c r="B133" s="1" t="s">
        <v>493</v>
      </c>
      <c r="C133" s="1" t="n">
        <v>841236</v>
      </c>
      <c r="D133" s="1" t="n">
        <v>872064</v>
      </c>
      <c r="E133" s="1" t="n">
        <v>30828</v>
      </c>
      <c r="F133" s="1" t="n">
        <v>0.0366</v>
      </c>
    </row>
    <row r="134" customFormat="false" ht="15" hidden="false" customHeight="false" outlineLevel="0" collapsed="false">
      <c r="A134" s="1" t="s">
        <v>87</v>
      </c>
      <c r="B134" s="1" t="s">
        <v>482</v>
      </c>
      <c r="C134" s="1" t="n">
        <v>480672</v>
      </c>
      <c r="D134" s="1" t="n">
        <v>462583</v>
      </c>
      <c r="E134" s="1" t="n">
        <v>-18089</v>
      </c>
      <c r="F134" s="1" t="n">
        <v>-0.0376</v>
      </c>
    </row>
    <row r="135" customFormat="false" ht="15" hidden="false" customHeight="false" outlineLevel="0" collapsed="false">
      <c r="A135" s="1" t="s">
        <v>87</v>
      </c>
      <c r="B135" s="1" t="s">
        <v>483</v>
      </c>
      <c r="C135" s="1" t="n">
        <v>671565</v>
      </c>
      <c r="D135" s="1" t="n">
        <v>670795</v>
      </c>
      <c r="E135" s="1" t="n">
        <v>-770</v>
      </c>
      <c r="F135" s="1" t="n">
        <v>-0.0011</v>
      </c>
    </row>
    <row r="136" customFormat="false" ht="15" hidden="false" customHeight="false" outlineLevel="0" collapsed="false">
      <c r="A136" s="1" t="s">
        <v>87</v>
      </c>
      <c r="B136" s="1" t="s">
        <v>484</v>
      </c>
      <c r="C136" s="1" t="n">
        <v>321990</v>
      </c>
      <c r="D136" s="1" t="n">
        <v>277264</v>
      </c>
      <c r="E136" s="1" t="n">
        <v>-44726</v>
      </c>
      <c r="F136" s="1" t="n">
        <v>-0.1389</v>
      </c>
    </row>
    <row r="137" customFormat="false" ht="15" hidden="false" customHeight="false" outlineLevel="0" collapsed="false">
      <c r="A137" s="1" t="s">
        <v>87</v>
      </c>
      <c r="B137" s="1" t="s">
        <v>485</v>
      </c>
      <c r="C137" s="1" t="n">
        <v>680217</v>
      </c>
      <c r="D137" s="1" t="n">
        <v>598970</v>
      </c>
      <c r="E137" s="1" t="n">
        <v>-81246</v>
      </c>
      <c r="F137" s="1" t="n">
        <v>-0.1194</v>
      </c>
    </row>
    <row r="138" customFormat="false" ht="15" hidden="false" customHeight="false" outlineLevel="0" collapsed="false">
      <c r="A138" s="1" t="s">
        <v>87</v>
      </c>
      <c r="B138" s="1" t="s">
        <v>486</v>
      </c>
      <c r="C138" s="1" t="n">
        <v>624394</v>
      </c>
      <c r="D138" s="1" t="n">
        <v>756716</v>
      </c>
      <c r="E138" s="1" t="n">
        <v>132323</v>
      </c>
      <c r="F138" s="1" t="n">
        <v>0.2119</v>
      </c>
    </row>
    <row r="139" customFormat="false" ht="15" hidden="false" customHeight="false" outlineLevel="0" collapsed="false">
      <c r="A139" s="1" t="s">
        <v>87</v>
      </c>
      <c r="B139" s="1" t="s">
        <v>487</v>
      </c>
      <c r="C139" s="1" t="n">
        <v>417913</v>
      </c>
      <c r="D139" s="1" t="n">
        <v>424309</v>
      </c>
      <c r="E139" s="1" t="n">
        <v>6395</v>
      </c>
      <c r="F139" s="1" t="n">
        <v>0.0153</v>
      </c>
    </row>
    <row r="140" customFormat="false" ht="15" hidden="false" customHeight="false" outlineLevel="0" collapsed="false">
      <c r="A140" s="1" t="s">
        <v>87</v>
      </c>
      <c r="B140" s="1" t="s">
        <v>488</v>
      </c>
      <c r="C140" s="1" t="n">
        <v>427791</v>
      </c>
      <c r="D140" s="1" t="n">
        <v>362692</v>
      </c>
      <c r="E140" s="1" t="n">
        <v>-65099</v>
      </c>
      <c r="F140" s="1" t="n">
        <v>-0.1522</v>
      </c>
    </row>
    <row r="141" customFormat="false" ht="15" hidden="false" customHeight="false" outlineLevel="0" collapsed="false">
      <c r="A141" s="1" t="s">
        <v>87</v>
      </c>
      <c r="B141" s="1" t="s">
        <v>489</v>
      </c>
      <c r="C141" s="1" t="n">
        <v>775769</v>
      </c>
      <c r="D141" s="1" t="n">
        <v>819963</v>
      </c>
      <c r="E141" s="1" t="n">
        <v>44193</v>
      </c>
      <c r="F141" s="1" t="n">
        <v>0.057</v>
      </c>
    </row>
    <row r="142" customFormat="false" ht="15" hidden="false" customHeight="false" outlineLevel="0" collapsed="false">
      <c r="A142" s="1" t="s">
        <v>87</v>
      </c>
      <c r="B142" s="1" t="s">
        <v>490</v>
      </c>
      <c r="C142" s="1" t="n">
        <v>810687</v>
      </c>
      <c r="D142" s="1" t="n">
        <v>736477</v>
      </c>
      <c r="E142" s="1" t="n">
        <v>-74210</v>
      </c>
      <c r="F142" s="1" t="n">
        <v>-0.0915</v>
      </c>
    </row>
    <row r="143" customFormat="false" ht="15" hidden="false" customHeight="false" outlineLevel="0" collapsed="false">
      <c r="A143" s="1" t="s">
        <v>87</v>
      </c>
      <c r="B143" s="1" t="s">
        <v>491</v>
      </c>
      <c r="C143" s="1" t="n">
        <v>779870</v>
      </c>
      <c r="D143" s="1" t="n">
        <v>862713</v>
      </c>
      <c r="E143" s="1" t="n">
        <v>82843</v>
      </c>
      <c r="F143" s="1" t="n">
        <v>0.1062</v>
      </c>
    </row>
    <row r="144" customFormat="false" ht="15" hidden="false" customHeight="false" outlineLevel="0" collapsed="false">
      <c r="A144" s="1" t="s">
        <v>87</v>
      </c>
      <c r="B144" s="1" t="s">
        <v>492</v>
      </c>
      <c r="C144" s="1" t="n">
        <v>535775</v>
      </c>
      <c r="D144" s="1" t="n">
        <v>569665</v>
      </c>
      <c r="E144" s="1" t="n">
        <v>33890</v>
      </c>
      <c r="F144" s="1" t="n">
        <v>0.0633</v>
      </c>
    </row>
    <row r="145" customFormat="false" ht="15" hidden="false" customHeight="false" outlineLevel="0" collapsed="false">
      <c r="A145" s="1" t="s">
        <v>87</v>
      </c>
      <c r="B145" s="1" t="s">
        <v>493</v>
      </c>
      <c r="C145" s="1" t="n">
        <v>357318</v>
      </c>
      <c r="D145" s="1" t="n">
        <v>389380</v>
      </c>
      <c r="E145" s="1" t="n">
        <v>32062</v>
      </c>
      <c r="F145" s="1" t="n">
        <v>0.0897</v>
      </c>
    </row>
    <row r="146" customFormat="false" ht="15" hidden="false" customHeight="false" outlineLevel="0" collapsed="false">
      <c r="A146" s="1" t="s">
        <v>88</v>
      </c>
      <c r="B146" s="1" t="s">
        <v>482</v>
      </c>
      <c r="C146" s="1" t="n">
        <v>369722</v>
      </c>
      <c r="D146" s="1" t="n">
        <v>362126</v>
      </c>
      <c r="E146" s="1" t="n">
        <v>-7596</v>
      </c>
      <c r="F146" s="1" t="n">
        <v>-0.0205</v>
      </c>
    </row>
    <row r="147" customFormat="false" ht="15" hidden="false" customHeight="false" outlineLevel="0" collapsed="false">
      <c r="A147" s="1" t="s">
        <v>88</v>
      </c>
      <c r="B147" s="1" t="s">
        <v>483</v>
      </c>
      <c r="C147" s="1" t="n">
        <v>767339</v>
      </c>
      <c r="D147" s="1" t="n">
        <v>662019</v>
      </c>
      <c r="E147" s="1" t="n">
        <v>-105321</v>
      </c>
      <c r="F147" s="1" t="n">
        <v>-0.1373</v>
      </c>
    </row>
    <row r="148" customFormat="false" ht="15" hidden="false" customHeight="false" outlineLevel="0" collapsed="false">
      <c r="A148" s="1" t="s">
        <v>88</v>
      </c>
      <c r="B148" s="1" t="s">
        <v>484</v>
      </c>
      <c r="C148" s="1" t="n">
        <v>728173</v>
      </c>
      <c r="D148" s="1" t="n">
        <v>667482</v>
      </c>
      <c r="E148" s="1" t="n">
        <v>-60691</v>
      </c>
      <c r="F148" s="1" t="n">
        <v>-0.0833</v>
      </c>
    </row>
    <row r="149" customFormat="false" ht="15" hidden="false" customHeight="false" outlineLevel="0" collapsed="false">
      <c r="A149" s="1" t="s">
        <v>88</v>
      </c>
      <c r="B149" s="1" t="s">
        <v>485</v>
      </c>
      <c r="C149" s="1" t="n">
        <v>473027</v>
      </c>
      <c r="D149" s="1" t="n">
        <v>486659</v>
      </c>
      <c r="E149" s="1" t="n">
        <v>13631</v>
      </c>
      <c r="F149" s="1" t="n">
        <v>0.0288</v>
      </c>
    </row>
    <row r="150" customFormat="false" ht="15" hidden="false" customHeight="false" outlineLevel="0" collapsed="false">
      <c r="A150" s="1" t="s">
        <v>88</v>
      </c>
      <c r="B150" s="1" t="s">
        <v>486</v>
      </c>
      <c r="C150" s="1" t="n">
        <v>820628</v>
      </c>
      <c r="D150" s="1" t="n">
        <v>878990</v>
      </c>
      <c r="E150" s="1" t="n">
        <v>58362</v>
      </c>
      <c r="F150" s="1" t="n">
        <v>0.0711</v>
      </c>
    </row>
    <row r="151" customFormat="false" ht="15" hidden="false" customHeight="false" outlineLevel="0" collapsed="false">
      <c r="A151" s="1" t="s">
        <v>88</v>
      </c>
      <c r="B151" s="1" t="s">
        <v>487</v>
      </c>
      <c r="C151" s="1" t="n">
        <v>465288</v>
      </c>
      <c r="D151" s="1" t="n">
        <v>451713</v>
      </c>
      <c r="E151" s="1" t="n">
        <v>-13575</v>
      </c>
      <c r="F151" s="1" t="n">
        <v>-0.0292</v>
      </c>
    </row>
    <row r="152" customFormat="false" ht="15" hidden="false" customHeight="false" outlineLevel="0" collapsed="false">
      <c r="A152" s="1" t="s">
        <v>88</v>
      </c>
      <c r="B152" s="1" t="s">
        <v>488</v>
      </c>
      <c r="C152" s="1" t="n">
        <v>865287</v>
      </c>
      <c r="D152" s="1" t="n">
        <v>674148</v>
      </c>
      <c r="E152" s="1" t="n">
        <v>-191139</v>
      </c>
      <c r="F152" s="1" t="n">
        <v>-0.2209</v>
      </c>
    </row>
    <row r="153" customFormat="false" ht="15" hidden="false" customHeight="false" outlineLevel="0" collapsed="false">
      <c r="A153" s="1" t="s">
        <v>88</v>
      </c>
      <c r="B153" s="1" t="s">
        <v>489</v>
      </c>
      <c r="C153" s="1" t="n">
        <v>513710</v>
      </c>
      <c r="D153" s="1" t="n">
        <v>499046</v>
      </c>
      <c r="E153" s="1" t="n">
        <v>-14664</v>
      </c>
      <c r="F153" s="1" t="n">
        <v>-0.0285</v>
      </c>
    </row>
    <row r="154" customFormat="false" ht="15" hidden="false" customHeight="false" outlineLevel="0" collapsed="false">
      <c r="A154" s="1" t="s">
        <v>88</v>
      </c>
      <c r="B154" s="1" t="s">
        <v>490</v>
      </c>
      <c r="C154" s="1" t="n">
        <v>554623</v>
      </c>
      <c r="D154" s="1" t="n">
        <v>535055</v>
      </c>
      <c r="E154" s="1" t="n">
        <v>-19568</v>
      </c>
      <c r="F154" s="1" t="n">
        <v>-0.0353</v>
      </c>
    </row>
    <row r="155" customFormat="false" ht="15" hidden="false" customHeight="false" outlineLevel="0" collapsed="false">
      <c r="A155" s="1" t="s">
        <v>88</v>
      </c>
      <c r="B155" s="1" t="s">
        <v>491</v>
      </c>
      <c r="C155" s="1" t="n">
        <v>498902</v>
      </c>
      <c r="D155" s="1" t="n">
        <v>552023</v>
      </c>
      <c r="E155" s="1" t="n">
        <v>53121</v>
      </c>
      <c r="F155" s="1" t="n">
        <v>0.1065</v>
      </c>
    </row>
    <row r="156" customFormat="false" ht="15" hidden="false" customHeight="false" outlineLevel="0" collapsed="false">
      <c r="A156" s="1" t="s">
        <v>88</v>
      </c>
      <c r="B156" s="1" t="s">
        <v>492</v>
      </c>
      <c r="C156" s="1" t="n">
        <v>668235</v>
      </c>
      <c r="D156" s="1" t="n">
        <v>706796</v>
      </c>
      <c r="E156" s="1" t="n">
        <v>38561</v>
      </c>
      <c r="F156" s="1" t="n">
        <v>0.0577</v>
      </c>
    </row>
    <row r="157" customFormat="false" ht="15" hidden="false" customHeight="false" outlineLevel="0" collapsed="false">
      <c r="A157" s="1" t="s">
        <v>88</v>
      </c>
      <c r="B157" s="1" t="s">
        <v>493</v>
      </c>
      <c r="C157" s="1" t="n">
        <v>356156</v>
      </c>
      <c r="D157" s="1" t="n">
        <v>396670</v>
      </c>
      <c r="E157" s="1" t="n">
        <v>40514</v>
      </c>
      <c r="F157" s="1" t="n">
        <v>0.1138</v>
      </c>
    </row>
    <row r="158" customFormat="false" ht="15" hidden="false" customHeight="false" outlineLevel="0" collapsed="false">
      <c r="A158" s="1" t="s">
        <v>89</v>
      </c>
      <c r="B158" s="1" t="s">
        <v>482</v>
      </c>
      <c r="C158" s="1" t="n">
        <v>714970</v>
      </c>
      <c r="D158" s="1" t="n">
        <v>675278</v>
      </c>
      <c r="E158" s="1" t="n">
        <v>-39692</v>
      </c>
      <c r="F158" s="1" t="n">
        <v>-0.0555</v>
      </c>
    </row>
    <row r="159" customFormat="false" ht="15" hidden="false" customHeight="false" outlineLevel="0" collapsed="false">
      <c r="A159" s="1" t="s">
        <v>89</v>
      </c>
      <c r="B159" s="1" t="s">
        <v>483</v>
      </c>
      <c r="C159" s="1" t="n">
        <v>633687</v>
      </c>
      <c r="D159" s="1" t="n">
        <v>624660</v>
      </c>
      <c r="E159" s="1" t="n">
        <v>-9027</v>
      </c>
      <c r="F159" s="1" t="n">
        <v>-0.0142</v>
      </c>
    </row>
    <row r="160" customFormat="false" ht="15" hidden="false" customHeight="false" outlineLevel="0" collapsed="false">
      <c r="A160" s="1" t="s">
        <v>89</v>
      </c>
      <c r="B160" s="1" t="s">
        <v>484</v>
      </c>
      <c r="C160" s="1" t="n">
        <v>304526</v>
      </c>
      <c r="D160" s="1" t="n">
        <v>302679</v>
      </c>
      <c r="E160" s="1" t="n">
        <v>-1848</v>
      </c>
      <c r="F160" s="1" t="n">
        <v>-0.0061</v>
      </c>
    </row>
    <row r="161" customFormat="false" ht="15" hidden="false" customHeight="false" outlineLevel="0" collapsed="false">
      <c r="A161" s="1" t="s">
        <v>89</v>
      </c>
      <c r="B161" s="1" t="s">
        <v>485</v>
      </c>
      <c r="C161" s="1" t="n">
        <v>701003</v>
      </c>
      <c r="D161" s="1" t="n">
        <v>780045</v>
      </c>
      <c r="E161" s="1" t="n">
        <v>79041</v>
      </c>
      <c r="F161" s="1" t="n">
        <v>0.1128</v>
      </c>
    </row>
    <row r="162" customFormat="false" ht="15" hidden="false" customHeight="false" outlineLevel="0" collapsed="false">
      <c r="A162" s="1" t="s">
        <v>89</v>
      </c>
      <c r="B162" s="1" t="s">
        <v>486</v>
      </c>
      <c r="C162" s="1" t="n">
        <v>868400</v>
      </c>
      <c r="D162" s="1" t="n">
        <v>785532</v>
      </c>
      <c r="E162" s="1" t="n">
        <v>-82868</v>
      </c>
      <c r="F162" s="1" t="n">
        <v>-0.0954</v>
      </c>
    </row>
    <row r="163" customFormat="false" ht="15" hidden="false" customHeight="false" outlineLevel="0" collapsed="false">
      <c r="A163" s="1" t="s">
        <v>89</v>
      </c>
      <c r="B163" s="1" t="s">
        <v>487</v>
      </c>
      <c r="C163" s="1" t="n">
        <v>338104</v>
      </c>
      <c r="D163" s="1" t="n">
        <v>367482</v>
      </c>
      <c r="E163" s="1" t="n">
        <v>29379</v>
      </c>
      <c r="F163" s="1" t="n">
        <v>0.0869</v>
      </c>
    </row>
    <row r="164" customFormat="false" ht="15" hidden="false" customHeight="false" outlineLevel="0" collapsed="false">
      <c r="A164" s="1" t="s">
        <v>89</v>
      </c>
      <c r="B164" s="1" t="s">
        <v>488</v>
      </c>
      <c r="C164" s="1" t="n">
        <v>821965</v>
      </c>
      <c r="D164" s="1" t="n">
        <v>654813</v>
      </c>
      <c r="E164" s="1" t="n">
        <v>-167152</v>
      </c>
      <c r="F164" s="1" t="n">
        <v>-0.2034</v>
      </c>
    </row>
    <row r="165" customFormat="false" ht="15" hidden="false" customHeight="false" outlineLevel="0" collapsed="false">
      <c r="A165" s="1" t="s">
        <v>89</v>
      </c>
      <c r="B165" s="1" t="s">
        <v>489</v>
      </c>
      <c r="C165" s="1" t="n">
        <v>758712</v>
      </c>
      <c r="D165" s="1" t="n">
        <v>766164</v>
      </c>
      <c r="E165" s="1" t="n">
        <v>7452</v>
      </c>
      <c r="F165" s="1" t="n">
        <v>0.0098</v>
      </c>
    </row>
    <row r="166" customFormat="false" ht="15" hidden="false" customHeight="false" outlineLevel="0" collapsed="false">
      <c r="A166" s="1" t="s">
        <v>89</v>
      </c>
      <c r="B166" s="1" t="s">
        <v>490</v>
      </c>
      <c r="C166" s="1" t="n">
        <v>839861</v>
      </c>
      <c r="D166" s="1" t="n">
        <v>836290</v>
      </c>
      <c r="E166" s="1" t="n">
        <v>-3571</v>
      </c>
      <c r="F166" s="1" t="n">
        <v>-0.0043</v>
      </c>
    </row>
    <row r="167" customFormat="false" ht="15" hidden="false" customHeight="false" outlineLevel="0" collapsed="false">
      <c r="A167" s="1" t="s">
        <v>89</v>
      </c>
      <c r="B167" s="1" t="s">
        <v>491</v>
      </c>
      <c r="C167" s="1" t="n">
        <v>685122</v>
      </c>
      <c r="D167" s="1" t="n">
        <v>670226</v>
      </c>
      <c r="E167" s="1" t="n">
        <v>-14896</v>
      </c>
      <c r="F167" s="1" t="n">
        <v>-0.0217</v>
      </c>
    </row>
    <row r="168" customFormat="false" ht="15" hidden="false" customHeight="false" outlineLevel="0" collapsed="false">
      <c r="A168" s="1" t="s">
        <v>89</v>
      </c>
      <c r="B168" s="1" t="s">
        <v>492</v>
      </c>
      <c r="C168" s="1" t="n">
        <v>334084</v>
      </c>
      <c r="D168" s="1" t="n">
        <v>353171</v>
      </c>
      <c r="E168" s="1" t="n">
        <v>19087</v>
      </c>
      <c r="F168" s="1" t="n">
        <v>0.0571</v>
      </c>
    </row>
    <row r="169" customFormat="false" ht="15" hidden="false" customHeight="false" outlineLevel="0" collapsed="false">
      <c r="A169" s="1" t="s">
        <v>89</v>
      </c>
      <c r="B169" s="1" t="s">
        <v>493</v>
      </c>
      <c r="C169" s="1" t="n">
        <v>457252</v>
      </c>
      <c r="D169" s="1" t="n">
        <v>483536</v>
      </c>
      <c r="E169" s="1" t="n">
        <v>26284</v>
      </c>
      <c r="F169" s="1" t="n">
        <v>0.0575</v>
      </c>
    </row>
    <row r="170" customFormat="false" ht="15" hidden="false" customHeight="false" outlineLevel="0" collapsed="false">
      <c r="A170" s="1" t="s">
        <v>90</v>
      </c>
      <c r="B170" s="1" t="s">
        <v>482</v>
      </c>
      <c r="C170" s="1" t="n">
        <v>661688</v>
      </c>
      <c r="D170" s="1" t="n">
        <v>655217</v>
      </c>
      <c r="E170" s="1" t="n">
        <v>-6471</v>
      </c>
      <c r="F170" s="1" t="n">
        <v>-0.0098</v>
      </c>
    </row>
    <row r="171" customFormat="false" ht="15" hidden="false" customHeight="false" outlineLevel="0" collapsed="false">
      <c r="A171" s="1" t="s">
        <v>90</v>
      </c>
      <c r="B171" s="1" t="s">
        <v>483</v>
      </c>
      <c r="C171" s="1" t="n">
        <v>326120</v>
      </c>
      <c r="D171" s="1" t="n">
        <v>318196</v>
      </c>
      <c r="E171" s="1" t="n">
        <v>-7924</v>
      </c>
      <c r="F171" s="1" t="n">
        <v>-0.0243</v>
      </c>
    </row>
    <row r="172" customFormat="false" ht="15" hidden="false" customHeight="false" outlineLevel="0" collapsed="false">
      <c r="A172" s="1" t="s">
        <v>90</v>
      </c>
      <c r="B172" s="1" t="s">
        <v>484</v>
      </c>
      <c r="C172" s="1" t="n">
        <v>445873</v>
      </c>
      <c r="D172" s="1" t="n">
        <v>435306</v>
      </c>
      <c r="E172" s="1" t="n">
        <v>-10567</v>
      </c>
      <c r="F172" s="1" t="n">
        <v>-0.0237</v>
      </c>
    </row>
    <row r="173" customFormat="false" ht="15" hidden="false" customHeight="false" outlineLevel="0" collapsed="false">
      <c r="A173" s="1" t="s">
        <v>90</v>
      </c>
      <c r="B173" s="1" t="s">
        <v>485</v>
      </c>
      <c r="C173" s="1" t="n">
        <v>295439</v>
      </c>
      <c r="D173" s="1" t="n">
        <v>295775</v>
      </c>
      <c r="E173" s="1" t="n">
        <v>336</v>
      </c>
      <c r="F173" s="1" t="n">
        <v>0.0011</v>
      </c>
    </row>
    <row r="174" customFormat="false" ht="15" hidden="false" customHeight="false" outlineLevel="0" collapsed="false">
      <c r="A174" s="1" t="s">
        <v>90</v>
      </c>
      <c r="B174" s="1" t="s">
        <v>486</v>
      </c>
      <c r="C174" s="1" t="n">
        <v>346882</v>
      </c>
      <c r="D174" s="1" t="n">
        <v>413679</v>
      </c>
      <c r="E174" s="1" t="n">
        <v>66797</v>
      </c>
      <c r="F174" s="1" t="n">
        <v>0.1926</v>
      </c>
    </row>
    <row r="175" customFormat="false" ht="15" hidden="false" customHeight="false" outlineLevel="0" collapsed="false">
      <c r="A175" s="1" t="s">
        <v>90</v>
      </c>
      <c r="B175" s="1" t="s">
        <v>487</v>
      </c>
      <c r="C175" s="1" t="n">
        <v>728842</v>
      </c>
      <c r="D175" s="1" t="n">
        <v>735125</v>
      </c>
      <c r="E175" s="1" t="n">
        <v>6284</v>
      </c>
      <c r="F175" s="1" t="n">
        <v>0.0086</v>
      </c>
    </row>
    <row r="176" customFormat="false" ht="15" hidden="false" customHeight="false" outlineLevel="0" collapsed="false">
      <c r="A176" s="1" t="s">
        <v>90</v>
      </c>
      <c r="B176" s="1" t="s">
        <v>488</v>
      </c>
      <c r="C176" s="1" t="n">
        <v>532826</v>
      </c>
      <c r="D176" s="1" t="n">
        <v>497976</v>
      </c>
      <c r="E176" s="1" t="n">
        <v>-34849</v>
      </c>
      <c r="F176" s="1" t="n">
        <v>-0.0654</v>
      </c>
    </row>
    <row r="177" customFormat="false" ht="15" hidden="false" customHeight="false" outlineLevel="0" collapsed="false">
      <c r="A177" s="1" t="s">
        <v>90</v>
      </c>
      <c r="B177" s="1" t="s">
        <v>489</v>
      </c>
      <c r="C177" s="1" t="n">
        <v>367681</v>
      </c>
      <c r="D177" s="1" t="n">
        <v>388271</v>
      </c>
      <c r="E177" s="1" t="n">
        <v>20590</v>
      </c>
      <c r="F177" s="1" t="n">
        <v>0.056</v>
      </c>
    </row>
    <row r="178" customFormat="false" ht="15" hidden="false" customHeight="false" outlineLevel="0" collapsed="false">
      <c r="A178" s="1" t="s">
        <v>90</v>
      </c>
      <c r="B178" s="1" t="s">
        <v>490</v>
      </c>
      <c r="C178" s="1" t="n">
        <v>655836</v>
      </c>
      <c r="D178" s="1" t="n">
        <v>687385</v>
      </c>
      <c r="E178" s="1" t="n">
        <v>31549</v>
      </c>
      <c r="F178" s="1" t="n">
        <v>0.0481</v>
      </c>
    </row>
    <row r="179" customFormat="false" ht="15" hidden="false" customHeight="false" outlineLevel="0" collapsed="false">
      <c r="A179" s="1" t="s">
        <v>90</v>
      </c>
      <c r="B179" s="1" t="s">
        <v>491</v>
      </c>
      <c r="C179" s="1" t="n">
        <v>541978</v>
      </c>
      <c r="D179" s="1" t="n">
        <v>536092</v>
      </c>
      <c r="E179" s="1" t="n">
        <v>-5886</v>
      </c>
      <c r="F179" s="1" t="n">
        <v>-0.0109</v>
      </c>
    </row>
    <row r="180" customFormat="false" ht="15" hidden="false" customHeight="false" outlineLevel="0" collapsed="false">
      <c r="A180" s="1" t="s">
        <v>90</v>
      </c>
      <c r="B180" s="1" t="s">
        <v>492</v>
      </c>
      <c r="C180" s="1" t="n">
        <v>703692</v>
      </c>
      <c r="D180" s="1" t="n">
        <v>761137</v>
      </c>
      <c r="E180" s="1" t="n">
        <v>57445</v>
      </c>
      <c r="F180" s="1" t="n">
        <v>0.0816</v>
      </c>
    </row>
    <row r="181" customFormat="false" ht="15" hidden="false" customHeight="false" outlineLevel="0" collapsed="false">
      <c r="A181" s="1" t="s">
        <v>90</v>
      </c>
      <c r="B181" s="1" t="s">
        <v>493</v>
      </c>
      <c r="C181" s="1" t="n">
        <v>705242</v>
      </c>
      <c r="D181" s="1" t="n">
        <v>692046</v>
      </c>
      <c r="E181" s="1" t="n">
        <v>-13196</v>
      </c>
      <c r="F181" s="1" t="n">
        <v>-0.0187</v>
      </c>
    </row>
    <row r="182" customFormat="false" ht="15" hidden="false" customHeight="false" outlineLevel="0" collapsed="false">
      <c r="A182" s="1" t="s">
        <v>91</v>
      </c>
      <c r="B182" s="1" t="s">
        <v>482</v>
      </c>
      <c r="C182" s="1" t="n">
        <v>651406</v>
      </c>
      <c r="D182" s="1" t="n">
        <v>623704</v>
      </c>
      <c r="E182" s="1" t="n">
        <v>-27703</v>
      </c>
      <c r="F182" s="1" t="n">
        <v>-0.0425</v>
      </c>
    </row>
    <row r="183" customFormat="false" ht="15" hidden="false" customHeight="false" outlineLevel="0" collapsed="false">
      <c r="A183" s="1" t="s">
        <v>91</v>
      </c>
      <c r="B183" s="1" t="s">
        <v>483</v>
      </c>
      <c r="C183" s="1" t="n">
        <v>810870</v>
      </c>
      <c r="D183" s="1" t="n">
        <v>921104</v>
      </c>
      <c r="E183" s="1" t="n">
        <v>110234</v>
      </c>
      <c r="F183" s="1" t="n">
        <v>0.1359</v>
      </c>
    </row>
    <row r="184" customFormat="false" ht="15" hidden="false" customHeight="false" outlineLevel="0" collapsed="false">
      <c r="A184" s="1" t="s">
        <v>91</v>
      </c>
      <c r="B184" s="1" t="s">
        <v>484</v>
      </c>
      <c r="C184" s="1" t="n">
        <v>521826</v>
      </c>
      <c r="D184" s="1" t="n">
        <v>514366</v>
      </c>
      <c r="E184" s="1" t="n">
        <v>-7460</v>
      </c>
      <c r="F184" s="1" t="n">
        <v>-0.0143</v>
      </c>
    </row>
    <row r="185" customFormat="false" ht="15" hidden="false" customHeight="false" outlineLevel="0" collapsed="false">
      <c r="A185" s="1" t="s">
        <v>91</v>
      </c>
      <c r="B185" s="1" t="s">
        <v>485</v>
      </c>
      <c r="C185" s="1" t="n">
        <v>853668</v>
      </c>
      <c r="D185" s="1" t="n">
        <v>846260</v>
      </c>
      <c r="E185" s="1" t="n">
        <v>-7407</v>
      </c>
      <c r="F185" s="1" t="n">
        <v>-0.0087</v>
      </c>
    </row>
    <row r="186" customFormat="false" ht="15" hidden="false" customHeight="false" outlineLevel="0" collapsed="false">
      <c r="A186" s="1" t="s">
        <v>91</v>
      </c>
      <c r="B186" s="1" t="s">
        <v>486</v>
      </c>
      <c r="C186" s="1" t="n">
        <v>596223</v>
      </c>
      <c r="D186" s="1" t="n">
        <v>660852</v>
      </c>
      <c r="E186" s="1" t="n">
        <v>64630</v>
      </c>
      <c r="F186" s="1" t="n">
        <v>0.1084</v>
      </c>
    </row>
    <row r="187" customFormat="false" ht="15" hidden="false" customHeight="false" outlineLevel="0" collapsed="false">
      <c r="A187" s="1" t="s">
        <v>91</v>
      </c>
      <c r="B187" s="1" t="s">
        <v>487</v>
      </c>
      <c r="C187" s="1" t="n">
        <v>875347</v>
      </c>
      <c r="D187" s="1" t="n">
        <v>846393</v>
      </c>
      <c r="E187" s="1" t="n">
        <v>-28954</v>
      </c>
      <c r="F187" s="1" t="n">
        <v>-0.0331</v>
      </c>
    </row>
    <row r="188" customFormat="false" ht="15" hidden="false" customHeight="false" outlineLevel="0" collapsed="false">
      <c r="A188" s="1" t="s">
        <v>91</v>
      </c>
      <c r="B188" s="1" t="s">
        <v>488</v>
      </c>
      <c r="C188" s="1" t="n">
        <v>847369</v>
      </c>
      <c r="D188" s="1" t="n">
        <v>724481</v>
      </c>
      <c r="E188" s="1" t="n">
        <v>-122888</v>
      </c>
      <c r="F188" s="1" t="n">
        <v>-0.145</v>
      </c>
    </row>
    <row r="189" customFormat="false" ht="15" hidden="false" customHeight="false" outlineLevel="0" collapsed="false">
      <c r="A189" s="1" t="s">
        <v>91</v>
      </c>
      <c r="B189" s="1" t="s">
        <v>489</v>
      </c>
      <c r="C189" s="1" t="n">
        <v>855571</v>
      </c>
      <c r="D189" s="1" t="n">
        <v>859929</v>
      </c>
      <c r="E189" s="1" t="n">
        <v>4358</v>
      </c>
      <c r="F189" s="1" t="n">
        <v>0.0051</v>
      </c>
    </row>
    <row r="190" customFormat="false" ht="15" hidden="false" customHeight="false" outlineLevel="0" collapsed="false">
      <c r="A190" s="1" t="s">
        <v>91</v>
      </c>
      <c r="B190" s="1" t="s">
        <v>490</v>
      </c>
      <c r="C190" s="1" t="n">
        <v>601000</v>
      </c>
      <c r="D190" s="1" t="n">
        <v>536208</v>
      </c>
      <c r="E190" s="1" t="n">
        <v>-64792</v>
      </c>
      <c r="F190" s="1" t="n">
        <v>-0.1078</v>
      </c>
    </row>
    <row r="191" customFormat="false" ht="15" hidden="false" customHeight="false" outlineLevel="0" collapsed="false">
      <c r="A191" s="1" t="s">
        <v>91</v>
      </c>
      <c r="B191" s="1" t="s">
        <v>491</v>
      </c>
      <c r="C191" s="1" t="n">
        <v>618214</v>
      </c>
      <c r="D191" s="1" t="n">
        <v>659615</v>
      </c>
      <c r="E191" s="1" t="n">
        <v>41401</v>
      </c>
      <c r="F191" s="1" t="n">
        <v>0.067</v>
      </c>
    </row>
    <row r="192" customFormat="false" ht="15" hidden="false" customHeight="false" outlineLevel="0" collapsed="false">
      <c r="A192" s="1" t="s">
        <v>91</v>
      </c>
      <c r="B192" s="1" t="s">
        <v>492</v>
      </c>
      <c r="C192" s="1" t="n">
        <v>819196</v>
      </c>
      <c r="D192" s="1" t="n">
        <v>828296</v>
      </c>
      <c r="E192" s="1" t="n">
        <v>9100</v>
      </c>
      <c r="F192" s="1" t="n">
        <v>0.0111</v>
      </c>
    </row>
    <row r="193" customFormat="false" ht="15" hidden="false" customHeight="false" outlineLevel="0" collapsed="false">
      <c r="A193" s="1" t="s">
        <v>91</v>
      </c>
      <c r="B193" s="1" t="s">
        <v>493</v>
      </c>
      <c r="C193" s="1" t="n">
        <v>669285</v>
      </c>
      <c r="D193" s="1" t="n">
        <v>720828</v>
      </c>
      <c r="E193" s="1" t="n">
        <v>51542</v>
      </c>
      <c r="F193" s="1" t="n">
        <v>0.077</v>
      </c>
    </row>
    <row r="194" customFormat="false" ht="15" hidden="false" customHeight="false" outlineLevel="0" collapsed="false">
      <c r="A194" s="1" t="s">
        <v>92</v>
      </c>
      <c r="B194" s="1" t="s">
        <v>482</v>
      </c>
      <c r="C194" s="1" t="n">
        <v>669146</v>
      </c>
      <c r="D194" s="1" t="n">
        <v>675806</v>
      </c>
      <c r="E194" s="1" t="n">
        <v>6661</v>
      </c>
      <c r="F194" s="1" t="n">
        <v>0.01</v>
      </c>
    </row>
    <row r="195" customFormat="false" ht="15" hidden="false" customHeight="false" outlineLevel="0" collapsed="false">
      <c r="A195" s="1" t="s">
        <v>92</v>
      </c>
      <c r="B195" s="1" t="s">
        <v>483</v>
      </c>
      <c r="C195" s="1" t="n">
        <v>727327</v>
      </c>
      <c r="D195" s="1" t="n">
        <v>762583</v>
      </c>
      <c r="E195" s="1" t="n">
        <v>35256</v>
      </c>
      <c r="F195" s="1" t="n">
        <v>0.0485</v>
      </c>
    </row>
    <row r="196" customFormat="false" ht="15" hidden="false" customHeight="false" outlineLevel="0" collapsed="false">
      <c r="A196" s="1" t="s">
        <v>92</v>
      </c>
      <c r="B196" s="1" t="s">
        <v>484</v>
      </c>
      <c r="C196" s="1" t="n">
        <v>382945</v>
      </c>
      <c r="D196" s="1" t="n">
        <v>333752</v>
      </c>
      <c r="E196" s="1" t="n">
        <v>-49193</v>
      </c>
      <c r="F196" s="1" t="n">
        <v>-0.1285</v>
      </c>
    </row>
    <row r="197" customFormat="false" ht="15" hidden="false" customHeight="false" outlineLevel="0" collapsed="false">
      <c r="A197" s="1" t="s">
        <v>92</v>
      </c>
      <c r="B197" s="1" t="s">
        <v>485</v>
      </c>
      <c r="C197" s="1" t="n">
        <v>860689</v>
      </c>
      <c r="D197" s="1" t="n">
        <v>909417</v>
      </c>
      <c r="E197" s="1" t="n">
        <v>48727</v>
      </c>
      <c r="F197" s="1" t="n">
        <v>0.0566</v>
      </c>
    </row>
    <row r="198" customFormat="false" ht="15" hidden="false" customHeight="false" outlineLevel="0" collapsed="false">
      <c r="A198" s="1" t="s">
        <v>92</v>
      </c>
      <c r="B198" s="1" t="s">
        <v>486</v>
      </c>
      <c r="C198" s="1" t="n">
        <v>349231</v>
      </c>
      <c r="D198" s="1" t="n">
        <v>390444</v>
      </c>
      <c r="E198" s="1" t="n">
        <v>41213</v>
      </c>
      <c r="F198" s="1" t="n">
        <v>0.118</v>
      </c>
    </row>
    <row r="199" customFormat="false" ht="15" hidden="false" customHeight="false" outlineLevel="0" collapsed="false">
      <c r="A199" s="1" t="s">
        <v>92</v>
      </c>
      <c r="B199" s="1" t="s">
        <v>487</v>
      </c>
      <c r="C199" s="1" t="n">
        <v>547740</v>
      </c>
      <c r="D199" s="1" t="n">
        <v>570268</v>
      </c>
      <c r="E199" s="1" t="n">
        <v>22528</v>
      </c>
      <c r="F199" s="1" t="n">
        <v>0.0411</v>
      </c>
    </row>
    <row r="200" customFormat="false" ht="15" hidden="false" customHeight="false" outlineLevel="0" collapsed="false">
      <c r="A200" s="1" t="s">
        <v>92</v>
      </c>
      <c r="B200" s="1" t="s">
        <v>488</v>
      </c>
      <c r="C200" s="1" t="n">
        <v>436765</v>
      </c>
      <c r="D200" s="1" t="n">
        <v>399981</v>
      </c>
      <c r="E200" s="1" t="n">
        <v>-36784</v>
      </c>
      <c r="F200" s="1" t="n">
        <v>-0.0842</v>
      </c>
    </row>
    <row r="201" customFormat="false" ht="15" hidden="false" customHeight="false" outlineLevel="0" collapsed="false">
      <c r="A201" s="1" t="s">
        <v>92</v>
      </c>
      <c r="B201" s="1" t="s">
        <v>489</v>
      </c>
      <c r="C201" s="1" t="n">
        <v>569567</v>
      </c>
      <c r="D201" s="1" t="n">
        <v>558295</v>
      </c>
      <c r="E201" s="1" t="n">
        <v>-11273</v>
      </c>
      <c r="F201" s="1" t="n">
        <v>-0.0198</v>
      </c>
    </row>
    <row r="202" customFormat="false" ht="15" hidden="false" customHeight="false" outlineLevel="0" collapsed="false">
      <c r="A202" s="1" t="s">
        <v>92</v>
      </c>
      <c r="B202" s="1" t="s">
        <v>490</v>
      </c>
      <c r="C202" s="1" t="n">
        <v>521581</v>
      </c>
      <c r="D202" s="1" t="n">
        <v>507759</v>
      </c>
      <c r="E202" s="1" t="n">
        <v>-13822</v>
      </c>
      <c r="F202" s="1" t="n">
        <v>-0.0265</v>
      </c>
    </row>
    <row r="203" customFormat="false" ht="15" hidden="false" customHeight="false" outlineLevel="0" collapsed="false">
      <c r="A203" s="1" t="s">
        <v>92</v>
      </c>
      <c r="B203" s="1" t="s">
        <v>491</v>
      </c>
      <c r="C203" s="1" t="n">
        <v>830631</v>
      </c>
      <c r="D203" s="1" t="n">
        <v>918533</v>
      </c>
      <c r="E203" s="1" t="n">
        <v>87903</v>
      </c>
      <c r="F203" s="1" t="n">
        <v>0.1058</v>
      </c>
    </row>
    <row r="204" customFormat="false" ht="15" hidden="false" customHeight="false" outlineLevel="0" collapsed="false">
      <c r="A204" s="1" t="s">
        <v>92</v>
      </c>
      <c r="B204" s="1" t="s">
        <v>492</v>
      </c>
      <c r="C204" s="1" t="n">
        <v>803436</v>
      </c>
      <c r="D204" s="1" t="n">
        <v>862709</v>
      </c>
      <c r="E204" s="1" t="n">
        <v>59273</v>
      </c>
      <c r="F204" s="1" t="n">
        <v>0.0738</v>
      </c>
    </row>
    <row r="205" customFormat="false" ht="15" hidden="false" customHeight="false" outlineLevel="0" collapsed="false">
      <c r="A205" s="1" t="s">
        <v>92</v>
      </c>
      <c r="B205" s="1" t="s">
        <v>493</v>
      </c>
      <c r="C205" s="1" t="n">
        <v>713504</v>
      </c>
      <c r="D205" s="1" t="n">
        <v>720103</v>
      </c>
      <c r="E205" s="1" t="n">
        <v>6599</v>
      </c>
      <c r="F205" s="1" t="n">
        <v>0.0092</v>
      </c>
    </row>
    <row r="206" customFormat="false" ht="15" hidden="false" customHeight="false" outlineLevel="0" collapsed="false">
      <c r="A206" s="1" t="s">
        <v>93</v>
      </c>
      <c r="B206" s="1" t="s">
        <v>482</v>
      </c>
      <c r="C206" s="1" t="n">
        <v>454926</v>
      </c>
      <c r="D206" s="1" t="n">
        <v>410736</v>
      </c>
      <c r="E206" s="1" t="n">
        <v>-44190</v>
      </c>
      <c r="F206" s="1" t="n">
        <v>-0.0971</v>
      </c>
    </row>
    <row r="207" customFormat="false" ht="15" hidden="false" customHeight="false" outlineLevel="0" collapsed="false">
      <c r="A207" s="1" t="s">
        <v>93</v>
      </c>
      <c r="B207" s="1" t="s">
        <v>483</v>
      </c>
      <c r="C207" s="1" t="n">
        <v>513622</v>
      </c>
      <c r="D207" s="1" t="n">
        <v>479931</v>
      </c>
      <c r="E207" s="1" t="n">
        <v>-33690</v>
      </c>
      <c r="F207" s="1" t="n">
        <v>-0.0656</v>
      </c>
    </row>
    <row r="208" customFormat="false" ht="15" hidden="false" customHeight="false" outlineLevel="0" collapsed="false">
      <c r="A208" s="1" t="s">
        <v>93</v>
      </c>
      <c r="B208" s="1" t="s">
        <v>484</v>
      </c>
      <c r="C208" s="1" t="n">
        <v>375570</v>
      </c>
      <c r="D208" s="1" t="n">
        <v>367221</v>
      </c>
      <c r="E208" s="1" t="n">
        <v>-8349</v>
      </c>
      <c r="F208" s="1" t="n">
        <v>-0.0222</v>
      </c>
    </row>
    <row r="209" customFormat="false" ht="15" hidden="false" customHeight="false" outlineLevel="0" collapsed="false">
      <c r="A209" s="1" t="s">
        <v>93</v>
      </c>
      <c r="B209" s="1" t="s">
        <v>485</v>
      </c>
      <c r="C209" s="1" t="n">
        <v>783901</v>
      </c>
      <c r="D209" s="1" t="n">
        <v>801174</v>
      </c>
      <c r="E209" s="1" t="n">
        <v>17273</v>
      </c>
      <c r="F209" s="1" t="n">
        <v>0.022</v>
      </c>
    </row>
    <row r="210" customFormat="false" ht="15" hidden="false" customHeight="false" outlineLevel="0" collapsed="false">
      <c r="A210" s="1" t="s">
        <v>93</v>
      </c>
      <c r="B210" s="1" t="s">
        <v>486</v>
      </c>
      <c r="C210" s="1" t="n">
        <v>491689</v>
      </c>
      <c r="D210" s="1" t="n">
        <v>515699</v>
      </c>
      <c r="E210" s="1" t="n">
        <v>24010</v>
      </c>
      <c r="F210" s="1" t="n">
        <v>0.0488</v>
      </c>
    </row>
    <row r="211" customFormat="false" ht="15" hidden="false" customHeight="false" outlineLevel="0" collapsed="false">
      <c r="A211" s="1" t="s">
        <v>93</v>
      </c>
      <c r="B211" s="1" t="s">
        <v>487</v>
      </c>
      <c r="C211" s="1" t="n">
        <v>889027</v>
      </c>
      <c r="D211" s="1" t="n">
        <v>869644</v>
      </c>
      <c r="E211" s="1" t="n">
        <v>-19382</v>
      </c>
      <c r="F211" s="1" t="n">
        <v>-0.0218</v>
      </c>
    </row>
    <row r="212" customFormat="false" ht="15" hidden="false" customHeight="false" outlineLevel="0" collapsed="false">
      <c r="A212" s="1" t="s">
        <v>93</v>
      </c>
      <c r="B212" s="1" t="s">
        <v>488</v>
      </c>
      <c r="C212" s="1" t="n">
        <v>777125</v>
      </c>
      <c r="D212" s="1" t="n">
        <v>667503</v>
      </c>
      <c r="E212" s="1" t="n">
        <v>-109622</v>
      </c>
      <c r="F212" s="1" t="n">
        <v>-0.1411</v>
      </c>
    </row>
    <row r="213" customFormat="false" ht="15" hidden="false" customHeight="false" outlineLevel="0" collapsed="false">
      <c r="A213" s="1" t="s">
        <v>93</v>
      </c>
      <c r="B213" s="1" t="s">
        <v>489</v>
      </c>
      <c r="C213" s="1" t="n">
        <v>605739</v>
      </c>
      <c r="D213" s="1" t="n">
        <v>546796</v>
      </c>
      <c r="E213" s="1" t="n">
        <v>-58943</v>
      </c>
      <c r="F213" s="1" t="n">
        <v>-0.0973</v>
      </c>
    </row>
    <row r="214" customFormat="false" ht="15" hidden="false" customHeight="false" outlineLevel="0" collapsed="false">
      <c r="A214" s="1" t="s">
        <v>93</v>
      </c>
      <c r="B214" s="1" t="s">
        <v>490</v>
      </c>
      <c r="C214" s="1" t="n">
        <v>455083</v>
      </c>
      <c r="D214" s="1" t="n">
        <v>442144</v>
      </c>
      <c r="E214" s="1" t="n">
        <v>-12939</v>
      </c>
      <c r="F214" s="1" t="n">
        <v>-0.0284</v>
      </c>
    </row>
    <row r="215" customFormat="false" ht="15" hidden="false" customHeight="false" outlineLevel="0" collapsed="false">
      <c r="A215" s="1" t="s">
        <v>93</v>
      </c>
      <c r="B215" s="1" t="s">
        <v>491</v>
      </c>
      <c r="C215" s="1" t="n">
        <v>649520</v>
      </c>
      <c r="D215" s="1" t="n">
        <v>733537</v>
      </c>
      <c r="E215" s="1" t="n">
        <v>84016</v>
      </c>
      <c r="F215" s="1" t="n">
        <v>0.1294</v>
      </c>
    </row>
    <row r="216" customFormat="false" ht="15" hidden="false" customHeight="false" outlineLevel="0" collapsed="false">
      <c r="A216" s="1" t="s">
        <v>93</v>
      </c>
      <c r="B216" s="1" t="s">
        <v>492</v>
      </c>
      <c r="C216" s="1" t="n">
        <v>495604</v>
      </c>
      <c r="D216" s="1" t="n">
        <v>563234</v>
      </c>
      <c r="E216" s="1" t="n">
        <v>67630</v>
      </c>
      <c r="F216" s="1" t="n">
        <v>0.1365</v>
      </c>
    </row>
    <row r="217" customFormat="false" ht="15" hidden="false" customHeight="false" outlineLevel="0" collapsed="false">
      <c r="A217" s="1" t="s">
        <v>93</v>
      </c>
      <c r="B217" s="1" t="s">
        <v>493</v>
      </c>
      <c r="C217" s="1" t="n">
        <v>314108</v>
      </c>
      <c r="D217" s="1" t="n">
        <v>277462</v>
      </c>
      <c r="E217" s="1" t="n">
        <v>-36645</v>
      </c>
      <c r="F217" s="1" t="n">
        <v>-0.1167</v>
      </c>
    </row>
    <row r="218" customFormat="false" ht="15" hidden="false" customHeight="false" outlineLevel="0" collapsed="false">
      <c r="A218" s="1" t="s">
        <v>94</v>
      </c>
      <c r="B218" s="1" t="s">
        <v>482</v>
      </c>
      <c r="C218" s="1" t="n">
        <v>550453</v>
      </c>
      <c r="D218" s="1" t="n">
        <v>524155</v>
      </c>
      <c r="E218" s="1" t="n">
        <v>-26298</v>
      </c>
      <c r="F218" s="1" t="n">
        <v>-0.0478</v>
      </c>
    </row>
    <row r="219" customFormat="false" ht="15" hidden="false" customHeight="false" outlineLevel="0" collapsed="false">
      <c r="A219" s="1" t="s">
        <v>94</v>
      </c>
      <c r="B219" s="1" t="s">
        <v>483</v>
      </c>
      <c r="C219" s="1" t="n">
        <v>505282</v>
      </c>
      <c r="D219" s="1" t="n">
        <v>535926</v>
      </c>
      <c r="E219" s="1" t="n">
        <v>30644</v>
      </c>
      <c r="F219" s="1" t="n">
        <v>0.0606</v>
      </c>
    </row>
    <row r="220" customFormat="false" ht="15" hidden="false" customHeight="false" outlineLevel="0" collapsed="false">
      <c r="A220" s="1" t="s">
        <v>94</v>
      </c>
      <c r="B220" s="1" t="s">
        <v>484</v>
      </c>
      <c r="C220" s="1" t="n">
        <v>402081</v>
      </c>
      <c r="D220" s="1" t="n">
        <v>404547</v>
      </c>
      <c r="E220" s="1" t="n">
        <v>2466</v>
      </c>
      <c r="F220" s="1" t="n">
        <v>0.0061</v>
      </c>
    </row>
    <row r="221" customFormat="false" ht="15" hidden="false" customHeight="false" outlineLevel="0" collapsed="false">
      <c r="A221" s="1" t="s">
        <v>94</v>
      </c>
      <c r="B221" s="1" t="s">
        <v>485</v>
      </c>
      <c r="C221" s="1" t="n">
        <v>752571</v>
      </c>
      <c r="D221" s="1" t="n">
        <v>862516</v>
      </c>
      <c r="E221" s="1" t="n">
        <v>109945</v>
      </c>
      <c r="F221" s="1" t="n">
        <v>0.1461</v>
      </c>
    </row>
    <row r="222" customFormat="false" ht="15" hidden="false" customHeight="false" outlineLevel="0" collapsed="false">
      <c r="A222" s="1" t="s">
        <v>94</v>
      </c>
      <c r="B222" s="1" t="s">
        <v>486</v>
      </c>
      <c r="C222" s="1" t="n">
        <v>493392</v>
      </c>
      <c r="D222" s="1" t="n">
        <v>572826</v>
      </c>
      <c r="E222" s="1" t="n">
        <v>79434</v>
      </c>
      <c r="F222" s="1" t="n">
        <v>0.161</v>
      </c>
    </row>
    <row r="223" customFormat="false" ht="15" hidden="false" customHeight="false" outlineLevel="0" collapsed="false">
      <c r="A223" s="1" t="s">
        <v>94</v>
      </c>
      <c r="B223" s="1" t="s">
        <v>487</v>
      </c>
      <c r="C223" s="1" t="n">
        <v>426558</v>
      </c>
      <c r="D223" s="1" t="n">
        <v>403705</v>
      </c>
      <c r="E223" s="1" t="n">
        <v>-22852</v>
      </c>
      <c r="F223" s="1" t="n">
        <v>-0.0536</v>
      </c>
    </row>
    <row r="224" customFormat="false" ht="15" hidden="false" customHeight="false" outlineLevel="0" collapsed="false">
      <c r="A224" s="1" t="s">
        <v>94</v>
      </c>
      <c r="B224" s="1" t="s">
        <v>488</v>
      </c>
      <c r="C224" s="1" t="n">
        <v>345636</v>
      </c>
      <c r="D224" s="1" t="n">
        <v>309261</v>
      </c>
      <c r="E224" s="1" t="n">
        <v>-36375</v>
      </c>
      <c r="F224" s="1" t="n">
        <v>-0.1052</v>
      </c>
    </row>
    <row r="225" customFormat="false" ht="15" hidden="false" customHeight="false" outlineLevel="0" collapsed="false">
      <c r="A225" s="1" t="s">
        <v>94</v>
      </c>
      <c r="B225" s="1" t="s">
        <v>489</v>
      </c>
      <c r="C225" s="1" t="n">
        <v>475713</v>
      </c>
      <c r="D225" s="1" t="n">
        <v>431678</v>
      </c>
      <c r="E225" s="1" t="n">
        <v>-44035</v>
      </c>
      <c r="F225" s="1" t="n">
        <v>-0.0926</v>
      </c>
    </row>
    <row r="226" customFormat="false" ht="15" hidden="false" customHeight="false" outlineLevel="0" collapsed="false">
      <c r="A226" s="1" t="s">
        <v>94</v>
      </c>
      <c r="B226" s="1" t="s">
        <v>490</v>
      </c>
      <c r="C226" s="1" t="n">
        <v>752510</v>
      </c>
      <c r="D226" s="1" t="n">
        <v>696582</v>
      </c>
      <c r="E226" s="1" t="n">
        <v>-55929</v>
      </c>
      <c r="F226" s="1" t="n">
        <v>-0.0743</v>
      </c>
    </row>
    <row r="227" customFormat="false" ht="15" hidden="false" customHeight="false" outlineLevel="0" collapsed="false">
      <c r="A227" s="1" t="s">
        <v>94</v>
      </c>
      <c r="B227" s="1" t="s">
        <v>491</v>
      </c>
      <c r="C227" s="1" t="n">
        <v>760590</v>
      </c>
      <c r="D227" s="1" t="n">
        <v>842195</v>
      </c>
      <c r="E227" s="1" t="n">
        <v>81605</v>
      </c>
      <c r="F227" s="1" t="n">
        <v>0.1073</v>
      </c>
    </row>
    <row r="228" customFormat="false" ht="15" hidden="false" customHeight="false" outlineLevel="0" collapsed="false">
      <c r="A228" s="1" t="s">
        <v>94</v>
      </c>
      <c r="B228" s="1" t="s">
        <v>492</v>
      </c>
      <c r="C228" s="1" t="n">
        <v>843282</v>
      </c>
      <c r="D228" s="1" t="n">
        <v>925419</v>
      </c>
      <c r="E228" s="1" t="n">
        <v>82137</v>
      </c>
      <c r="F228" s="1" t="n">
        <v>0.0974</v>
      </c>
    </row>
    <row r="229" customFormat="false" ht="15" hidden="false" customHeight="false" outlineLevel="0" collapsed="false">
      <c r="A229" s="1" t="s">
        <v>94</v>
      </c>
      <c r="B229" s="1" t="s">
        <v>493</v>
      </c>
      <c r="C229" s="1" t="n">
        <v>588413</v>
      </c>
      <c r="D229" s="1" t="n">
        <v>647881</v>
      </c>
      <c r="E229" s="1" t="n">
        <v>59468</v>
      </c>
      <c r="F229" s="1" t="n">
        <v>0.1011</v>
      </c>
    </row>
    <row r="230" customFormat="false" ht="15" hidden="false" customHeight="false" outlineLevel="0" collapsed="false">
      <c r="A230" s="1" t="s">
        <v>95</v>
      </c>
      <c r="B230" s="1" t="s">
        <v>482</v>
      </c>
      <c r="C230" s="1" t="n">
        <v>911834</v>
      </c>
      <c r="D230" s="1" t="n">
        <v>849043</v>
      </c>
      <c r="E230" s="1" t="n">
        <v>-62791</v>
      </c>
      <c r="F230" s="1" t="n">
        <v>-0.0689</v>
      </c>
    </row>
    <row r="231" customFormat="false" ht="15" hidden="false" customHeight="false" outlineLevel="0" collapsed="false">
      <c r="A231" s="1" t="s">
        <v>95</v>
      </c>
      <c r="B231" s="1" t="s">
        <v>483</v>
      </c>
      <c r="C231" s="1" t="n">
        <v>554587</v>
      </c>
      <c r="D231" s="1" t="n">
        <v>544390</v>
      </c>
      <c r="E231" s="1" t="n">
        <v>-10197</v>
      </c>
      <c r="F231" s="1" t="n">
        <v>-0.0184</v>
      </c>
    </row>
    <row r="232" customFormat="false" ht="15" hidden="false" customHeight="false" outlineLevel="0" collapsed="false">
      <c r="A232" s="1" t="s">
        <v>95</v>
      </c>
      <c r="B232" s="1" t="s">
        <v>484</v>
      </c>
      <c r="C232" s="1" t="n">
        <v>884905</v>
      </c>
      <c r="D232" s="1" t="n">
        <v>821651</v>
      </c>
      <c r="E232" s="1" t="n">
        <v>-63254</v>
      </c>
      <c r="F232" s="1" t="n">
        <v>-0.0715</v>
      </c>
    </row>
    <row r="233" customFormat="false" ht="15" hidden="false" customHeight="false" outlineLevel="0" collapsed="false">
      <c r="A233" s="1" t="s">
        <v>95</v>
      </c>
      <c r="B233" s="1" t="s">
        <v>485</v>
      </c>
      <c r="C233" s="1" t="n">
        <v>538940</v>
      </c>
      <c r="D233" s="1" t="n">
        <v>610454</v>
      </c>
      <c r="E233" s="1" t="n">
        <v>71513</v>
      </c>
      <c r="F233" s="1" t="n">
        <v>0.1327</v>
      </c>
    </row>
    <row r="234" customFormat="false" ht="15" hidden="false" customHeight="false" outlineLevel="0" collapsed="false">
      <c r="A234" s="1" t="s">
        <v>95</v>
      </c>
      <c r="B234" s="1" t="s">
        <v>486</v>
      </c>
      <c r="C234" s="1" t="n">
        <v>323589</v>
      </c>
      <c r="D234" s="1" t="n">
        <v>379394</v>
      </c>
      <c r="E234" s="1" t="n">
        <v>55805</v>
      </c>
      <c r="F234" s="1" t="n">
        <v>0.1725</v>
      </c>
    </row>
    <row r="235" customFormat="false" ht="15" hidden="false" customHeight="false" outlineLevel="0" collapsed="false">
      <c r="A235" s="1" t="s">
        <v>95</v>
      </c>
      <c r="B235" s="1" t="s">
        <v>487</v>
      </c>
      <c r="C235" s="1" t="n">
        <v>726569</v>
      </c>
      <c r="D235" s="1" t="n">
        <v>779233</v>
      </c>
      <c r="E235" s="1" t="n">
        <v>52664</v>
      </c>
      <c r="F235" s="1" t="n">
        <v>0.0725</v>
      </c>
    </row>
    <row r="236" customFormat="false" ht="15" hidden="false" customHeight="false" outlineLevel="0" collapsed="false">
      <c r="A236" s="1" t="s">
        <v>95</v>
      </c>
      <c r="B236" s="1" t="s">
        <v>488</v>
      </c>
      <c r="C236" s="1" t="n">
        <v>604136</v>
      </c>
      <c r="D236" s="1" t="n">
        <v>496462</v>
      </c>
      <c r="E236" s="1" t="n">
        <v>-107673</v>
      </c>
      <c r="F236" s="1" t="n">
        <v>-0.1782</v>
      </c>
    </row>
    <row r="237" customFormat="false" ht="15" hidden="false" customHeight="false" outlineLevel="0" collapsed="false">
      <c r="A237" s="1" t="s">
        <v>95</v>
      </c>
      <c r="B237" s="1" t="s">
        <v>489</v>
      </c>
      <c r="C237" s="1" t="n">
        <v>323370</v>
      </c>
      <c r="D237" s="1" t="n">
        <v>337036</v>
      </c>
      <c r="E237" s="1" t="n">
        <v>13666</v>
      </c>
      <c r="F237" s="1" t="n">
        <v>0.0423</v>
      </c>
    </row>
    <row r="238" customFormat="false" ht="15" hidden="false" customHeight="false" outlineLevel="0" collapsed="false">
      <c r="A238" s="1" t="s">
        <v>95</v>
      </c>
      <c r="B238" s="1" t="s">
        <v>490</v>
      </c>
      <c r="C238" s="1" t="n">
        <v>411179</v>
      </c>
      <c r="D238" s="1" t="n">
        <v>394591</v>
      </c>
      <c r="E238" s="1" t="n">
        <v>-16588</v>
      </c>
      <c r="F238" s="1" t="n">
        <v>-0.0403</v>
      </c>
    </row>
    <row r="239" customFormat="false" ht="15" hidden="false" customHeight="false" outlineLevel="0" collapsed="false">
      <c r="A239" s="1" t="s">
        <v>95</v>
      </c>
      <c r="B239" s="1" t="s">
        <v>491</v>
      </c>
      <c r="C239" s="1" t="n">
        <v>313961</v>
      </c>
      <c r="D239" s="1" t="n">
        <v>364017</v>
      </c>
      <c r="E239" s="1" t="n">
        <v>50056</v>
      </c>
      <c r="F239" s="1" t="n">
        <v>0.1594</v>
      </c>
    </row>
    <row r="240" customFormat="false" ht="15" hidden="false" customHeight="false" outlineLevel="0" collapsed="false">
      <c r="A240" s="1" t="s">
        <v>95</v>
      </c>
      <c r="B240" s="1" t="s">
        <v>492</v>
      </c>
      <c r="C240" s="1" t="n">
        <v>915328</v>
      </c>
      <c r="D240" s="1" t="n">
        <v>901910</v>
      </c>
      <c r="E240" s="1" t="n">
        <v>-13418</v>
      </c>
      <c r="F240" s="1" t="n">
        <v>-0.0147</v>
      </c>
    </row>
    <row r="241" customFormat="false" ht="15" hidden="false" customHeight="false" outlineLevel="0" collapsed="false">
      <c r="A241" s="1" t="s">
        <v>95</v>
      </c>
      <c r="B241" s="1" t="s">
        <v>493</v>
      </c>
      <c r="C241" s="1" t="n">
        <v>348797</v>
      </c>
      <c r="D241" s="1" t="n">
        <v>379887</v>
      </c>
      <c r="E241" s="1" t="n">
        <v>31090</v>
      </c>
      <c r="F241" s="1" t="n">
        <v>0.0891</v>
      </c>
    </row>
    <row r="242" customFormat="false" ht="15" hidden="false" customHeight="false" outlineLevel="0" collapsed="false">
      <c r="A242" s="1" t="s">
        <v>96</v>
      </c>
      <c r="B242" s="1" t="s">
        <v>482</v>
      </c>
      <c r="C242" s="1" t="n">
        <v>786638</v>
      </c>
      <c r="D242" s="1" t="n">
        <v>744422</v>
      </c>
      <c r="E242" s="1" t="n">
        <v>-42216</v>
      </c>
      <c r="F242" s="1" t="n">
        <v>-0.0537</v>
      </c>
    </row>
    <row r="243" customFormat="false" ht="15" hidden="false" customHeight="false" outlineLevel="0" collapsed="false">
      <c r="A243" s="1" t="s">
        <v>96</v>
      </c>
      <c r="B243" s="1" t="s">
        <v>483</v>
      </c>
      <c r="C243" s="1" t="n">
        <v>787591</v>
      </c>
      <c r="D243" s="1" t="n">
        <v>752549</v>
      </c>
      <c r="E243" s="1" t="n">
        <v>-35042</v>
      </c>
      <c r="F243" s="1" t="n">
        <v>-0.0445</v>
      </c>
    </row>
    <row r="244" customFormat="false" ht="15" hidden="false" customHeight="false" outlineLevel="0" collapsed="false">
      <c r="A244" s="1" t="s">
        <v>96</v>
      </c>
      <c r="B244" s="1" t="s">
        <v>484</v>
      </c>
      <c r="C244" s="1" t="n">
        <v>553128</v>
      </c>
      <c r="D244" s="1" t="n">
        <v>518784</v>
      </c>
      <c r="E244" s="1" t="n">
        <v>-34344</v>
      </c>
      <c r="F244" s="1" t="n">
        <v>-0.0621</v>
      </c>
    </row>
    <row r="245" customFormat="false" ht="15" hidden="false" customHeight="false" outlineLevel="0" collapsed="false">
      <c r="A245" s="1" t="s">
        <v>96</v>
      </c>
      <c r="B245" s="1" t="s">
        <v>485</v>
      </c>
      <c r="C245" s="1" t="n">
        <v>472230</v>
      </c>
      <c r="D245" s="1" t="n">
        <v>526403</v>
      </c>
      <c r="E245" s="1" t="n">
        <v>54173</v>
      </c>
      <c r="F245" s="1" t="n">
        <v>0.1147</v>
      </c>
    </row>
    <row r="246" customFormat="false" ht="15" hidden="false" customHeight="false" outlineLevel="0" collapsed="false">
      <c r="A246" s="1" t="s">
        <v>96</v>
      </c>
      <c r="B246" s="1" t="s">
        <v>486</v>
      </c>
      <c r="C246" s="1" t="n">
        <v>520187</v>
      </c>
      <c r="D246" s="1" t="n">
        <v>598023</v>
      </c>
      <c r="E246" s="1" t="n">
        <v>77836</v>
      </c>
      <c r="F246" s="1" t="n">
        <v>0.1496</v>
      </c>
    </row>
    <row r="247" customFormat="false" ht="15" hidden="false" customHeight="false" outlineLevel="0" collapsed="false">
      <c r="A247" s="1" t="s">
        <v>96</v>
      </c>
      <c r="B247" s="1" t="s">
        <v>487</v>
      </c>
      <c r="C247" s="1" t="n">
        <v>364530</v>
      </c>
      <c r="D247" s="1" t="n">
        <v>326912</v>
      </c>
      <c r="E247" s="1" t="n">
        <v>-37619</v>
      </c>
      <c r="F247" s="1" t="n">
        <v>-0.1032</v>
      </c>
    </row>
    <row r="248" customFormat="false" ht="15" hidden="false" customHeight="false" outlineLevel="0" collapsed="false">
      <c r="A248" s="1" t="s">
        <v>96</v>
      </c>
      <c r="B248" s="1" t="s">
        <v>488</v>
      </c>
      <c r="C248" s="1" t="n">
        <v>890680</v>
      </c>
      <c r="D248" s="1" t="n">
        <v>784420</v>
      </c>
      <c r="E248" s="1" t="n">
        <v>-106260</v>
      </c>
      <c r="F248" s="1" t="n">
        <v>-0.1193</v>
      </c>
    </row>
    <row r="249" customFormat="false" ht="15" hidden="false" customHeight="false" outlineLevel="0" collapsed="false">
      <c r="A249" s="1" t="s">
        <v>96</v>
      </c>
      <c r="B249" s="1" t="s">
        <v>489</v>
      </c>
      <c r="C249" s="1" t="n">
        <v>529811</v>
      </c>
      <c r="D249" s="1" t="n">
        <v>500295</v>
      </c>
      <c r="E249" s="1" t="n">
        <v>-29516</v>
      </c>
      <c r="F249" s="1" t="n">
        <v>-0.0557</v>
      </c>
    </row>
    <row r="250" customFormat="false" ht="15" hidden="false" customHeight="false" outlineLevel="0" collapsed="false">
      <c r="A250" s="1" t="s">
        <v>96</v>
      </c>
      <c r="B250" s="1" t="s">
        <v>490</v>
      </c>
      <c r="C250" s="1" t="n">
        <v>376567</v>
      </c>
      <c r="D250" s="1" t="n">
        <v>382429</v>
      </c>
      <c r="E250" s="1" t="n">
        <v>5862</v>
      </c>
      <c r="F250" s="1" t="n">
        <v>0.0156</v>
      </c>
    </row>
    <row r="251" customFormat="false" ht="15" hidden="false" customHeight="false" outlineLevel="0" collapsed="false">
      <c r="A251" s="1" t="s">
        <v>96</v>
      </c>
      <c r="B251" s="1" t="s">
        <v>491</v>
      </c>
      <c r="C251" s="1" t="n">
        <v>852247</v>
      </c>
      <c r="D251" s="1" t="n">
        <v>975833</v>
      </c>
      <c r="E251" s="1" t="n">
        <v>123586</v>
      </c>
      <c r="F251" s="1" t="n">
        <v>0.145</v>
      </c>
    </row>
    <row r="252" customFormat="false" ht="15" hidden="false" customHeight="false" outlineLevel="0" collapsed="false">
      <c r="A252" s="1" t="s">
        <v>96</v>
      </c>
      <c r="B252" s="1" t="s">
        <v>492</v>
      </c>
      <c r="C252" s="1" t="n">
        <v>406811</v>
      </c>
      <c r="D252" s="1" t="n">
        <v>411678</v>
      </c>
      <c r="E252" s="1" t="n">
        <v>4867</v>
      </c>
      <c r="F252" s="1" t="n">
        <v>0.012</v>
      </c>
    </row>
    <row r="253" customFormat="false" ht="15" hidden="false" customHeight="false" outlineLevel="0" collapsed="false">
      <c r="A253" s="1" t="s">
        <v>96</v>
      </c>
      <c r="B253" s="1" t="s">
        <v>493</v>
      </c>
      <c r="C253" s="1" t="n">
        <v>764216</v>
      </c>
      <c r="D253" s="1" t="n">
        <v>761321</v>
      </c>
      <c r="E253" s="1" t="n">
        <v>-2895</v>
      </c>
      <c r="F253" s="1" t="n">
        <v>-0.0038</v>
      </c>
    </row>
    <row r="254" customFormat="false" ht="15" hidden="false" customHeight="false" outlineLevel="0" collapsed="false">
      <c r="A254" s="1" t="s">
        <v>97</v>
      </c>
      <c r="B254" s="1" t="s">
        <v>482</v>
      </c>
      <c r="C254" s="1" t="n">
        <v>867268</v>
      </c>
      <c r="D254" s="1" t="n">
        <v>869278</v>
      </c>
      <c r="E254" s="1" t="n">
        <v>2010</v>
      </c>
      <c r="F254" s="1" t="n">
        <v>0.0023</v>
      </c>
    </row>
    <row r="255" customFormat="false" ht="15" hidden="false" customHeight="false" outlineLevel="0" collapsed="false">
      <c r="A255" s="1" t="s">
        <v>97</v>
      </c>
      <c r="B255" s="1" t="s">
        <v>483</v>
      </c>
      <c r="C255" s="1" t="n">
        <v>866444</v>
      </c>
      <c r="D255" s="1" t="n">
        <v>904920</v>
      </c>
      <c r="E255" s="1" t="n">
        <v>38476</v>
      </c>
      <c r="F255" s="1" t="n">
        <v>0.0444</v>
      </c>
    </row>
    <row r="256" customFormat="false" ht="15" hidden="false" customHeight="false" outlineLevel="0" collapsed="false">
      <c r="A256" s="1" t="s">
        <v>97</v>
      </c>
      <c r="B256" s="1" t="s">
        <v>484</v>
      </c>
      <c r="C256" s="1" t="n">
        <v>739245</v>
      </c>
      <c r="D256" s="1" t="n">
        <v>548468</v>
      </c>
      <c r="E256" s="1" t="n">
        <v>-190777</v>
      </c>
      <c r="F256" s="1" t="n">
        <v>-0.2581</v>
      </c>
    </row>
    <row r="257" customFormat="false" ht="15" hidden="false" customHeight="false" outlineLevel="0" collapsed="false">
      <c r="A257" s="1" t="s">
        <v>97</v>
      </c>
      <c r="B257" s="1" t="s">
        <v>485</v>
      </c>
      <c r="C257" s="1" t="n">
        <v>581730</v>
      </c>
      <c r="D257" s="1" t="n">
        <v>618314</v>
      </c>
      <c r="E257" s="1" t="n">
        <v>36584</v>
      </c>
      <c r="F257" s="1" t="n">
        <v>0.0629</v>
      </c>
    </row>
    <row r="258" customFormat="false" ht="15" hidden="false" customHeight="false" outlineLevel="0" collapsed="false">
      <c r="A258" s="1" t="s">
        <v>97</v>
      </c>
      <c r="B258" s="1" t="s">
        <v>486</v>
      </c>
      <c r="C258" s="1" t="n">
        <v>399042</v>
      </c>
      <c r="D258" s="1" t="n">
        <v>458702</v>
      </c>
      <c r="E258" s="1" t="n">
        <v>59659</v>
      </c>
      <c r="F258" s="1" t="n">
        <v>0.1495</v>
      </c>
    </row>
    <row r="259" customFormat="false" ht="15" hidden="false" customHeight="false" outlineLevel="0" collapsed="false">
      <c r="A259" s="1" t="s">
        <v>97</v>
      </c>
      <c r="B259" s="1" t="s">
        <v>487</v>
      </c>
      <c r="C259" s="1" t="n">
        <v>423541</v>
      </c>
      <c r="D259" s="1" t="n">
        <v>384432</v>
      </c>
      <c r="E259" s="1" t="n">
        <v>-39109</v>
      </c>
      <c r="F259" s="1" t="n">
        <v>-0.0923</v>
      </c>
    </row>
    <row r="260" customFormat="false" ht="15" hidden="false" customHeight="false" outlineLevel="0" collapsed="false">
      <c r="A260" s="1" t="s">
        <v>97</v>
      </c>
      <c r="B260" s="1" t="s">
        <v>488</v>
      </c>
      <c r="C260" s="1" t="n">
        <v>577456</v>
      </c>
      <c r="D260" s="1" t="n">
        <v>524161</v>
      </c>
      <c r="E260" s="1" t="n">
        <v>-53295</v>
      </c>
      <c r="F260" s="1" t="n">
        <v>-0.0923</v>
      </c>
    </row>
    <row r="261" customFormat="false" ht="15" hidden="false" customHeight="false" outlineLevel="0" collapsed="false">
      <c r="A261" s="1" t="s">
        <v>97</v>
      </c>
      <c r="B261" s="1" t="s">
        <v>489</v>
      </c>
      <c r="C261" s="1" t="n">
        <v>655252</v>
      </c>
      <c r="D261" s="1" t="n">
        <v>602618</v>
      </c>
      <c r="E261" s="1" t="n">
        <v>-52634</v>
      </c>
      <c r="F261" s="1" t="n">
        <v>-0.0803</v>
      </c>
    </row>
    <row r="262" customFormat="false" ht="15" hidden="false" customHeight="false" outlineLevel="0" collapsed="false">
      <c r="A262" s="1" t="s">
        <v>97</v>
      </c>
      <c r="B262" s="1" t="s">
        <v>490</v>
      </c>
      <c r="C262" s="1" t="n">
        <v>559138</v>
      </c>
      <c r="D262" s="1" t="n">
        <v>596060</v>
      </c>
      <c r="E262" s="1" t="n">
        <v>36923</v>
      </c>
      <c r="F262" s="1" t="n">
        <v>0.066</v>
      </c>
    </row>
    <row r="263" customFormat="false" ht="15" hidden="false" customHeight="false" outlineLevel="0" collapsed="false">
      <c r="A263" s="1" t="s">
        <v>97</v>
      </c>
      <c r="B263" s="1" t="s">
        <v>491</v>
      </c>
      <c r="C263" s="1" t="n">
        <v>691334</v>
      </c>
      <c r="D263" s="1" t="n">
        <v>769495</v>
      </c>
      <c r="E263" s="1" t="n">
        <v>78161</v>
      </c>
      <c r="F263" s="1" t="n">
        <v>0.1131</v>
      </c>
    </row>
    <row r="264" customFormat="false" ht="15" hidden="false" customHeight="false" outlineLevel="0" collapsed="false">
      <c r="A264" s="1" t="s">
        <v>97</v>
      </c>
      <c r="B264" s="1" t="s">
        <v>492</v>
      </c>
      <c r="C264" s="1" t="n">
        <v>384627</v>
      </c>
      <c r="D264" s="1" t="n">
        <v>434754</v>
      </c>
      <c r="E264" s="1" t="n">
        <v>50127</v>
      </c>
      <c r="F264" s="1" t="n">
        <v>0.1303</v>
      </c>
    </row>
    <row r="265" customFormat="false" ht="15" hidden="false" customHeight="false" outlineLevel="0" collapsed="false">
      <c r="A265" s="1" t="s">
        <v>97</v>
      </c>
      <c r="B265" s="1" t="s">
        <v>493</v>
      </c>
      <c r="C265" s="1" t="n">
        <v>320589</v>
      </c>
      <c r="D265" s="1" t="n">
        <v>337260</v>
      </c>
      <c r="E265" s="1" t="n">
        <v>16671</v>
      </c>
      <c r="F265" s="1" t="n">
        <v>0.052</v>
      </c>
    </row>
    <row r="266" customFormat="false" ht="15" hidden="false" customHeight="false" outlineLevel="0" collapsed="false">
      <c r="A266" s="1" t="s">
        <v>98</v>
      </c>
      <c r="B266" s="1" t="s">
        <v>482</v>
      </c>
      <c r="C266" s="1" t="n">
        <v>443174</v>
      </c>
      <c r="D266" s="1" t="n">
        <v>395284</v>
      </c>
      <c r="E266" s="1" t="n">
        <v>-47890</v>
      </c>
      <c r="F266" s="1" t="n">
        <v>-0.1081</v>
      </c>
    </row>
    <row r="267" customFormat="false" ht="15" hidden="false" customHeight="false" outlineLevel="0" collapsed="false">
      <c r="A267" s="1" t="s">
        <v>98</v>
      </c>
      <c r="B267" s="1" t="s">
        <v>483</v>
      </c>
      <c r="C267" s="1" t="n">
        <v>942883</v>
      </c>
      <c r="D267" s="1" t="n">
        <v>890163</v>
      </c>
      <c r="E267" s="1" t="n">
        <v>-52720</v>
      </c>
      <c r="F267" s="1" t="n">
        <v>-0.0559</v>
      </c>
    </row>
    <row r="268" customFormat="false" ht="15" hidden="false" customHeight="false" outlineLevel="0" collapsed="false">
      <c r="A268" s="1" t="s">
        <v>98</v>
      </c>
      <c r="B268" s="1" t="s">
        <v>484</v>
      </c>
      <c r="C268" s="1" t="n">
        <v>354809</v>
      </c>
      <c r="D268" s="1" t="n">
        <v>319203</v>
      </c>
      <c r="E268" s="1" t="n">
        <v>-35606</v>
      </c>
      <c r="F268" s="1" t="n">
        <v>-0.1004</v>
      </c>
    </row>
    <row r="269" customFormat="false" ht="15" hidden="false" customHeight="false" outlineLevel="0" collapsed="false">
      <c r="A269" s="1" t="s">
        <v>98</v>
      </c>
      <c r="B269" s="1" t="s">
        <v>485</v>
      </c>
      <c r="C269" s="1" t="n">
        <v>862675</v>
      </c>
      <c r="D269" s="1" t="n">
        <v>949344</v>
      </c>
      <c r="E269" s="1" t="n">
        <v>86669</v>
      </c>
      <c r="F269" s="1" t="n">
        <v>0.1005</v>
      </c>
    </row>
    <row r="270" customFormat="false" ht="15" hidden="false" customHeight="false" outlineLevel="0" collapsed="false">
      <c r="A270" s="1" t="s">
        <v>98</v>
      </c>
      <c r="B270" s="1" t="s">
        <v>486</v>
      </c>
      <c r="C270" s="1" t="n">
        <v>838640</v>
      </c>
      <c r="D270" s="1" t="n">
        <v>957420</v>
      </c>
      <c r="E270" s="1" t="n">
        <v>118781</v>
      </c>
      <c r="F270" s="1" t="n">
        <v>0.1416</v>
      </c>
    </row>
    <row r="271" customFormat="false" ht="15" hidden="false" customHeight="false" outlineLevel="0" collapsed="false">
      <c r="A271" s="1" t="s">
        <v>98</v>
      </c>
      <c r="B271" s="1" t="s">
        <v>487</v>
      </c>
      <c r="C271" s="1" t="n">
        <v>931993</v>
      </c>
      <c r="D271" s="1" t="n">
        <v>997499</v>
      </c>
      <c r="E271" s="1" t="n">
        <v>65506</v>
      </c>
      <c r="F271" s="1" t="n">
        <v>0.0703</v>
      </c>
    </row>
    <row r="272" customFormat="false" ht="15" hidden="false" customHeight="false" outlineLevel="0" collapsed="false">
      <c r="A272" s="1" t="s">
        <v>98</v>
      </c>
      <c r="B272" s="1" t="s">
        <v>488</v>
      </c>
      <c r="C272" s="1" t="n">
        <v>559788</v>
      </c>
      <c r="D272" s="1" t="n">
        <v>504625</v>
      </c>
      <c r="E272" s="1" t="n">
        <v>-55163</v>
      </c>
      <c r="F272" s="1" t="n">
        <v>-0.0985</v>
      </c>
    </row>
    <row r="273" customFormat="false" ht="15" hidden="false" customHeight="false" outlineLevel="0" collapsed="false">
      <c r="A273" s="1" t="s">
        <v>98</v>
      </c>
      <c r="B273" s="1" t="s">
        <v>489</v>
      </c>
      <c r="C273" s="1" t="n">
        <v>529725</v>
      </c>
      <c r="D273" s="1" t="n">
        <v>459571</v>
      </c>
      <c r="E273" s="1" t="n">
        <v>-70153</v>
      </c>
      <c r="F273" s="1" t="n">
        <v>-0.1324</v>
      </c>
    </row>
    <row r="274" customFormat="false" ht="15" hidden="false" customHeight="false" outlineLevel="0" collapsed="false">
      <c r="A274" s="1" t="s">
        <v>98</v>
      </c>
      <c r="B274" s="1" t="s">
        <v>490</v>
      </c>
      <c r="C274" s="1" t="n">
        <v>808405</v>
      </c>
      <c r="D274" s="1" t="n">
        <v>703586</v>
      </c>
      <c r="E274" s="1" t="n">
        <v>-104818</v>
      </c>
      <c r="F274" s="1" t="n">
        <v>-0.1297</v>
      </c>
    </row>
    <row r="275" customFormat="false" ht="15" hidden="false" customHeight="false" outlineLevel="0" collapsed="false">
      <c r="A275" s="1" t="s">
        <v>98</v>
      </c>
      <c r="B275" s="1" t="s">
        <v>491</v>
      </c>
      <c r="C275" s="1" t="n">
        <v>617380</v>
      </c>
      <c r="D275" s="1" t="n">
        <v>681649</v>
      </c>
      <c r="E275" s="1" t="n">
        <v>64270</v>
      </c>
      <c r="F275" s="1" t="n">
        <v>0.1041</v>
      </c>
    </row>
    <row r="276" customFormat="false" ht="15" hidden="false" customHeight="false" outlineLevel="0" collapsed="false">
      <c r="A276" s="1" t="s">
        <v>98</v>
      </c>
      <c r="B276" s="1" t="s">
        <v>492</v>
      </c>
      <c r="C276" s="1" t="n">
        <v>677170</v>
      </c>
      <c r="D276" s="1" t="n">
        <v>688094</v>
      </c>
      <c r="E276" s="1" t="n">
        <v>10925</v>
      </c>
      <c r="F276" s="1" t="n">
        <v>0.0161</v>
      </c>
    </row>
    <row r="277" customFormat="false" ht="15" hidden="false" customHeight="false" outlineLevel="0" collapsed="false">
      <c r="A277" s="1" t="s">
        <v>98</v>
      </c>
      <c r="B277" s="1" t="s">
        <v>493</v>
      </c>
      <c r="C277" s="1" t="n">
        <v>397361</v>
      </c>
      <c r="D277" s="1" t="n">
        <v>438809</v>
      </c>
      <c r="E277" s="1" t="n">
        <v>41448</v>
      </c>
      <c r="F277" s="1" t="n">
        <v>0.1043</v>
      </c>
    </row>
    <row r="278" customFormat="false" ht="15" hidden="false" customHeight="false" outlineLevel="0" collapsed="false">
      <c r="A278" s="1" t="s">
        <v>99</v>
      </c>
      <c r="B278" s="1" t="s">
        <v>482</v>
      </c>
      <c r="C278" s="1" t="n">
        <v>489210</v>
      </c>
      <c r="D278" s="1" t="n">
        <v>473744</v>
      </c>
      <c r="E278" s="1" t="n">
        <v>-15466</v>
      </c>
      <c r="F278" s="1" t="n">
        <v>-0.0316</v>
      </c>
    </row>
    <row r="279" customFormat="false" ht="15" hidden="false" customHeight="false" outlineLevel="0" collapsed="false">
      <c r="A279" s="1" t="s">
        <v>99</v>
      </c>
      <c r="B279" s="1" t="s">
        <v>483</v>
      </c>
      <c r="C279" s="1" t="n">
        <v>652972</v>
      </c>
      <c r="D279" s="1" t="n">
        <v>664242</v>
      </c>
      <c r="E279" s="1" t="n">
        <v>11269</v>
      </c>
      <c r="F279" s="1" t="n">
        <v>0.0173</v>
      </c>
    </row>
    <row r="280" customFormat="false" ht="15" hidden="false" customHeight="false" outlineLevel="0" collapsed="false">
      <c r="A280" s="1" t="s">
        <v>99</v>
      </c>
      <c r="B280" s="1" t="s">
        <v>484</v>
      </c>
      <c r="C280" s="1" t="n">
        <v>344698</v>
      </c>
      <c r="D280" s="1" t="n">
        <v>318173</v>
      </c>
      <c r="E280" s="1" t="n">
        <v>-26525</v>
      </c>
      <c r="F280" s="1" t="n">
        <v>-0.077</v>
      </c>
    </row>
    <row r="281" customFormat="false" ht="15" hidden="false" customHeight="false" outlineLevel="0" collapsed="false">
      <c r="A281" s="1" t="s">
        <v>99</v>
      </c>
      <c r="B281" s="1" t="s">
        <v>485</v>
      </c>
      <c r="C281" s="1" t="n">
        <v>581731</v>
      </c>
      <c r="D281" s="1" t="n">
        <v>634305</v>
      </c>
      <c r="E281" s="1" t="n">
        <v>52575</v>
      </c>
      <c r="F281" s="1" t="n">
        <v>0.0904</v>
      </c>
    </row>
    <row r="282" customFormat="false" ht="15" hidden="false" customHeight="false" outlineLevel="0" collapsed="false">
      <c r="A282" s="1" t="s">
        <v>99</v>
      </c>
      <c r="B282" s="1" t="s">
        <v>486</v>
      </c>
      <c r="C282" s="1" t="n">
        <v>565578</v>
      </c>
      <c r="D282" s="1" t="n">
        <v>606349</v>
      </c>
      <c r="E282" s="1" t="n">
        <v>40771</v>
      </c>
      <c r="F282" s="1" t="n">
        <v>0.0721</v>
      </c>
    </row>
    <row r="283" customFormat="false" ht="15" hidden="false" customHeight="false" outlineLevel="0" collapsed="false">
      <c r="A283" s="1" t="s">
        <v>99</v>
      </c>
      <c r="B283" s="1" t="s">
        <v>487</v>
      </c>
      <c r="C283" s="1" t="n">
        <v>464190</v>
      </c>
      <c r="D283" s="1" t="n">
        <v>407904</v>
      </c>
      <c r="E283" s="1" t="n">
        <v>-56286</v>
      </c>
      <c r="F283" s="1" t="n">
        <v>-0.1213</v>
      </c>
    </row>
    <row r="284" customFormat="false" ht="15" hidden="false" customHeight="false" outlineLevel="0" collapsed="false">
      <c r="A284" s="1" t="s">
        <v>99</v>
      </c>
      <c r="B284" s="1" t="s">
        <v>488</v>
      </c>
      <c r="C284" s="1" t="n">
        <v>527462</v>
      </c>
      <c r="D284" s="1" t="n">
        <v>488659</v>
      </c>
      <c r="E284" s="1" t="n">
        <v>-38804</v>
      </c>
      <c r="F284" s="1" t="n">
        <v>-0.0736</v>
      </c>
    </row>
    <row r="285" customFormat="false" ht="15" hidden="false" customHeight="false" outlineLevel="0" collapsed="false">
      <c r="A285" s="1" t="s">
        <v>99</v>
      </c>
      <c r="B285" s="1" t="s">
        <v>489</v>
      </c>
      <c r="C285" s="1" t="n">
        <v>814131</v>
      </c>
      <c r="D285" s="1" t="n">
        <v>770608</v>
      </c>
      <c r="E285" s="1" t="n">
        <v>-43524</v>
      </c>
      <c r="F285" s="1" t="n">
        <v>-0.0535</v>
      </c>
    </row>
    <row r="286" customFormat="false" ht="15" hidden="false" customHeight="false" outlineLevel="0" collapsed="false">
      <c r="A286" s="1" t="s">
        <v>99</v>
      </c>
      <c r="B286" s="1" t="s">
        <v>490</v>
      </c>
      <c r="C286" s="1" t="n">
        <v>690227</v>
      </c>
      <c r="D286" s="1" t="n">
        <v>677690</v>
      </c>
      <c r="E286" s="1" t="n">
        <v>-12537</v>
      </c>
      <c r="F286" s="1" t="n">
        <v>-0.0182</v>
      </c>
    </row>
    <row r="287" customFormat="false" ht="15" hidden="false" customHeight="false" outlineLevel="0" collapsed="false">
      <c r="A287" s="1" t="s">
        <v>99</v>
      </c>
      <c r="B287" s="1" t="s">
        <v>491</v>
      </c>
      <c r="C287" s="1" t="n">
        <v>799008</v>
      </c>
      <c r="D287" s="1" t="n">
        <v>938164</v>
      </c>
      <c r="E287" s="1" t="n">
        <v>139157</v>
      </c>
      <c r="F287" s="1" t="n">
        <v>0.1742</v>
      </c>
    </row>
    <row r="288" customFormat="false" ht="15" hidden="false" customHeight="false" outlineLevel="0" collapsed="false">
      <c r="A288" s="1" t="s">
        <v>99</v>
      </c>
      <c r="B288" s="1" t="s">
        <v>492</v>
      </c>
      <c r="C288" s="1" t="n">
        <v>484820</v>
      </c>
      <c r="D288" s="1" t="n">
        <v>552481</v>
      </c>
      <c r="E288" s="1" t="n">
        <v>67660</v>
      </c>
      <c r="F288" s="1" t="n">
        <v>0.1396</v>
      </c>
    </row>
    <row r="289" customFormat="false" ht="15" hidden="false" customHeight="false" outlineLevel="0" collapsed="false">
      <c r="A289" s="1" t="s">
        <v>99</v>
      </c>
      <c r="B289" s="1" t="s">
        <v>493</v>
      </c>
      <c r="C289" s="1" t="n">
        <v>831059</v>
      </c>
      <c r="D289" s="1" t="n">
        <v>943614</v>
      </c>
      <c r="E289" s="1" t="n">
        <v>112555</v>
      </c>
      <c r="F289" s="1" t="n">
        <v>0.1354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1"/>
    <col collapsed="false" customWidth="true" hidden="false" outlineLevel="0" max="5" min="5" style="1" width="27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5"/>
    <col collapsed="false" customWidth="true" hidden="false" outlineLevel="0" max="9" min="9" style="1" width="21"/>
  </cols>
  <sheetData>
    <row r="1" customFormat="false" ht="28.35" hidden="false" customHeight="false" outlineLevel="0" collapsed="false">
      <c r="A1" s="13" t="s">
        <v>46</v>
      </c>
      <c r="B1" s="13" t="s">
        <v>48</v>
      </c>
      <c r="C1" s="13" t="s">
        <v>50</v>
      </c>
      <c r="D1" s="13" t="s">
        <v>494</v>
      </c>
      <c r="E1" s="13" t="s">
        <v>495</v>
      </c>
      <c r="F1" s="13" t="s">
        <v>496</v>
      </c>
      <c r="G1" s="13" t="s">
        <v>497</v>
      </c>
      <c r="H1" s="13" t="s">
        <v>498</v>
      </c>
      <c r="I1" s="13" t="s">
        <v>499</v>
      </c>
    </row>
    <row r="2" customFormat="false" ht="15" hidden="false" customHeight="false" outlineLevel="0" collapsed="false">
      <c r="A2" s="1" t="s">
        <v>52</v>
      </c>
      <c r="B2" s="1" t="n">
        <v>23.79</v>
      </c>
      <c r="C2" s="1" t="n">
        <v>0.6732</v>
      </c>
      <c r="D2" s="1" t="n">
        <v>0.011</v>
      </c>
      <c r="E2" s="1" t="n">
        <v>60</v>
      </c>
      <c r="F2" s="1" t="n">
        <v>165</v>
      </c>
      <c r="G2" s="1" t="n">
        <v>961</v>
      </c>
      <c r="H2" s="1" t="n">
        <v>5.82</v>
      </c>
      <c r="I2" s="1" t="n">
        <v>10.3</v>
      </c>
    </row>
    <row r="3" customFormat="false" ht="15" hidden="false" customHeight="false" outlineLevel="0" collapsed="false">
      <c r="A3" s="1" t="s">
        <v>100</v>
      </c>
      <c r="B3" s="1" t="n">
        <v>11.15</v>
      </c>
      <c r="C3" s="1" t="n">
        <v>0.5788</v>
      </c>
      <c r="D3" s="1" t="n">
        <v>0.019</v>
      </c>
      <c r="E3" s="1" t="n">
        <v>52.6</v>
      </c>
      <c r="F3" s="1" t="n">
        <v>60</v>
      </c>
      <c r="G3" s="1" t="n">
        <v>340</v>
      </c>
      <c r="H3" s="1" t="n">
        <v>5.66</v>
      </c>
      <c r="I3" s="1" t="n">
        <v>9.3</v>
      </c>
    </row>
    <row r="4" customFormat="false" ht="15" hidden="false" customHeight="false" outlineLevel="0" collapsed="false">
      <c r="A4" s="1" t="s">
        <v>101</v>
      </c>
      <c r="B4" s="1" t="n">
        <v>15.12</v>
      </c>
      <c r="C4" s="1" t="n">
        <v>0.5197</v>
      </c>
      <c r="D4" s="1" t="n">
        <v>0.026</v>
      </c>
      <c r="E4" s="1" t="n">
        <v>38.5</v>
      </c>
      <c r="F4" s="1" t="n">
        <v>95</v>
      </c>
      <c r="G4" s="1" t="n">
        <v>302</v>
      </c>
      <c r="H4" s="1" t="n">
        <v>3.18</v>
      </c>
      <c r="I4" s="1" t="n">
        <v>12.1</v>
      </c>
    </row>
    <row r="5" customFormat="false" ht="15" hidden="false" customHeight="false" outlineLevel="0" collapsed="false">
      <c r="A5" s="1" t="s">
        <v>102</v>
      </c>
      <c r="B5" s="1" t="n">
        <v>148.44</v>
      </c>
      <c r="C5" s="1" t="n">
        <v>0.7156</v>
      </c>
      <c r="D5" s="1" t="n">
        <v>0.007</v>
      </c>
      <c r="E5" s="1" t="n">
        <v>60</v>
      </c>
      <c r="F5" s="1" t="n">
        <v>2400</v>
      </c>
      <c r="G5" s="1" t="n">
        <v>6373</v>
      </c>
      <c r="H5" s="1" t="n">
        <v>2.66</v>
      </c>
      <c r="I5" s="1" t="n">
        <v>22.6</v>
      </c>
    </row>
    <row r="6" customFormat="false" ht="15" hidden="false" customHeight="false" outlineLevel="0" collapsed="false">
      <c r="A6" s="1" t="s">
        <v>103</v>
      </c>
      <c r="B6" s="1" t="n">
        <v>20992.91</v>
      </c>
      <c r="C6" s="1" t="n">
        <v>0.7413</v>
      </c>
      <c r="D6" s="1" t="n">
        <v>0.004</v>
      </c>
      <c r="E6" s="1" t="n">
        <v>60</v>
      </c>
      <c r="F6" s="1" t="n">
        <v>8500</v>
      </c>
      <c r="G6" s="1" t="n">
        <v>933723</v>
      </c>
      <c r="H6" s="1" t="n">
        <v>109.85</v>
      </c>
      <c r="I6" s="1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3"/>
    <col collapsed="false" customWidth="true" hidden="false" outlineLevel="0" max="3" min="3" style="1" width="30"/>
    <col collapsed="false" customWidth="true" hidden="false" outlineLevel="0" max="4" min="4" style="1" width="25"/>
    <col collapsed="false" customWidth="true" hidden="false" outlineLevel="0" max="5" min="5" style="1" width="16"/>
    <col collapsed="false" customWidth="true" hidden="false" outlineLevel="0" max="6" min="6" style="1" width="24"/>
  </cols>
  <sheetData>
    <row r="1" customFormat="false" ht="25.5" hidden="false" customHeight="true" outlineLevel="0" collapsed="false">
      <c r="A1" s="2" t="s">
        <v>500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6" hidden="false" customHeight="true" outlineLevel="0" collapsed="false">
      <c r="A3" s="3" t="s">
        <v>501</v>
      </c>
      <c r="B3" s="3"/>
      <c r="C3" s="3"/>
      <c r="D3" s="3"/>
      <c r="E3" s="3"/>
      <c r="F3" s="3"/>
    </row>
    <row r="5" customFormat="false" ht="28.35" hidden="false" customHeight="false" outlineLevel="0" collapsed="false">
      <c r="A5" s="13" t="s">
        <v>45</v>
      </c>
      <c r="B5" s="13" t="s">
        <v>502</v>
      </c>
      <c r="C5" s="13" t="s">
        <v>503</v>
      </c>
      <c r="D5" s="13" t="s">
        <v>504</v>
      </c>
      <c r="E5" s="13" t="s">
        <v>505</v>
      </c>
      <c r="F5" s="13" t="s">
        <v>506</v>
      </c>
    </row>
    <row r="6" customFormat="false" ht="15" hidden="false" customHeight="false" outlineLevel="0" collapsed="false">
      <c r="A6" s="1" t="s">
        <v>507</v>
      </c>
      <c r="B6" s="1" t="n">
        <v>21355355</v>
      </c>
      <c r="C6" s="1" t="n">
        <v>21343748</v>
      </c>
      <c r="D6" s="1" t="n">
        <v>21349552</v>
      </c>
      <c r="E6" s="1" t="n">
        <v>8230430</v>
      </c>
      <c r="F6" s="1" t="n">
        <v>0.3855</v>
      </c>
    </row>
    <row r="7" customFormat="false" ht="15" hidden="false" customHeight="false" outlineLevel="0" collapsed="false">
      <c r="A7" s="1" t="s">
        <v>508</v>
      </c>
      <c r="B7" s="1" t="n">
        <v>21529758</v>
      </c>
      <c r="C7" s="1" t="n">
        <v>21481075</v>
      </c>
      <c r="D7" s="1" t="n">
        <v>21505416</v>
      </c>
      <c r="E7" s="1" t="n">
        <v>8290517</v>
      </c>
      <c r="F7" s="1" t="n">
        <v>0.3855</v>
      </c>
    </row>
    <row r="8" customFormat="false" ht="15" hidden="false" customHeight="false" outlineLevel="0" collapsed="false">
      <c r="A8" s="1" t="s">
        <v>509</v>
      </c>
      <c r="B8" s="1" t="n">
        <v>21704161</v>
      </c>
      <c r="C8" s="1" t="n">
        <v>21619285</v>
      </c>
      <c r="D8" s="1" t="n">
        <v>21661723</v>
      </c>
      <c r="E8" s="1" t="n">
        <v>8350775</v>
      </c>
      <c r="F8" s="1" t="n">
        <v>0.3855</v>
      </c>
    </row>
    <row r="9" customFormat="false" ht="15" hidden="false" customHeight="false" outlineLevel="0" collapsed="false">
      <c r="A9" s="1" t="s">
        <v>477</v>
      </c>
      <c r="B9" s="1" t="n">
        <v>21878564</v>
      </c>
      <c r="C9" s="1" t="n">
        <v>21758384</v>
      </c>
      <c r="D9" s="1" t="n">
        <v>21818474</v>
      </c>
      <c r="E9" s="1" t="n">
        <v>8411204</v>
      </c>
      <c r="F9" s="1" t="n">
        <v>0.3855</v>
      </c>
    </row>
    <row r="10" customFormat="false" ht="15" hidden="false" customHeight="false" outlineLevel="0" collapsed="false">
      <c r="A10" s="1" t="s">
        <v>510</v>
      </c>
      <c r="B10" s="1" t="n">
        <v>22052968</v>
      </c>
      <c r="C10" s="1" t="n">
        <v>21898378</v>
      </c>
      <c r="D10" s="1" t="n">
        <v>21975673</v>
      </c>
      <c r="E10" s="1" t="n">
        <v>8471805</v>
      </c>
      <c r="F10" s="1" t="n">
        <v>0.3855</v>
      </c>
    </row>
    <row r="11" customFormat="false" ht="15" hidden="false" customHeight="false" outlineLevel="0" collapsed="false">
      <c r="A11" s="1" t="s">
        <v>511</v>
      </c>
      <c r="B11" s="1" t="n">
        <v>22227371</v>
      </c>
      <c r="C11" s="1" t="n">
        <v>22039273</v>
      </c>
      <c r="D11" s="1" t="n">
        <v>22133322</v>
      </c>
      <c r="E11" s="1" t="n">
        <v>8532580</v>
      </c>
      <c r="F11" s="1" t="n">
        <v>0.3855</v>
      </c>
    </row>
    <row r="12" customFormat="false" ht="15" hidden="false" customHeight="false" outlineLevel="0" collapsed="false">
      <c r="A12" s="1" t="s">
        <v>512</v>
      </c>
      <c r="B12" s="1" t="n">
        <v>22401774</v>
      </c>
      <c r="C12" s="1" t="n">
        <v>22181074</v>
      </c>
      <c r="D12" s="1" t="n">
        <v>22291424</v>
      </c>
      <c r="E12" s="1" t="n">
        <v>8593530</v>
      </c>
      <c r="F12" s="1" t="n">
        <v>0.3855</v>
      </c>
    </row>
    <row r="13" customFormat="false" ht="15" hidden="false" customHeight="false" outlineLevel="0" collapsed="false">
      <c r="A13" s="1" t="s">
        <v>513</v>
      </c>
      <c r="B13" s="1" t="n">
        <v>22576177</v>
      </c>
      <c r="C13" s="1" t="n">
        <v>22323788</v>
      </c>
      <c r="D13" s="1" t="n">
        <v>22449982</v>
      </c>
      <c r="E13" s="1" t="n">
        <v>8654655</v>
      </c>
      <c r="F13" s="1" t="n">
        <v>0.3855</v>
      </c>
    </row>
    <row r="14" customFormat="false" ht="15" hidden="false" customHeight="false" outlineLevel="0" collapsed="false">
      <c r="A14" s="1" t="s">
        <v>514</v>
      </c>
      <c r="B14" s="1" t="n">
        <v>22750580</v>
      </c>
      <c r="C14" s="1" t="n">
        <v>22467420</v>
      </c>
      <c r="D14" s="1" t="n">
        <v>22609000</v>
      </c>
      <c r="E14" s="1" t="n">
        <v>8715958</v>
      </c>
      <c r="F14" s="1" t="n">
        <v>0.3855</v>
      </c>
    </row>
    <row r="15" customFormat="false" ht="15" hidden="false" customHeight="false" outlineLevel="0" collapsed="false">
      <c r="A15" s="1" t="s">
        <v>515</v>
      </c>
      <c r="B15" s="1" t="n">
        <v>22924984</v>
      </c>
      <c r="C15" s="1" t="n">
        <v>22611976</v>
      </c>
      <c r="D15" s="1" t="n">
        <v>22768480</v>
      </c>
      <c r="E15" s="1" t="n">
        <v>8777439</v>
      </c>
      <c r="F15" s="1" t="n">
        <v>0.3855</v>
      </c>
    </row>
    <row r="16" customFormat="false" ht="15" hidden="false" customHeight="false" outlineLevel="0" collapsed="false">
      <c r="A16" s="1" t="s">
        <v>516</v>
      </c>
      <c r="B16" s="1" t="n">
        <v>23099387</v>
      </c>
      <c r="C16" s="1" t="n">
        <v>22757462</v>
      </c>
      <c r="D16" s="1" t="n">
        <v>22928424</v>
      </c>
      <c r="E16" s="1" t="n">
        <v>8839099</v>
      </c>
      <c r="F16" s="1" t="n">
        <v>0.3855</v>
      </c>
    </row>
    <row r="17" customFormat="false" ht="15" hidden="false" customHeight="false" outlineLevel="0" collapsed="false">
      <c r="A17" s="1" t="s">
        <v>517</v>
      </c>
      <c r="B17" s="1" t="n">
        <v>23273790</v>
      </c>
      <c r="C17" s="1" t="n">
        <v>22903884</v>
      </c>
      <c r="D17" s="1" t="n">
        <v>23088837</v>
      </c>
      <c r="E17" s="1" t="n">
        <v>8900939</v>
      </c>
      <c r="F17" s="1" t="n">
        <v>0.3855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</cols>
  <sheetData>
    <row r="1" customFormat="false" ht="25.5" hidden="false" customHeight="true" outlineLevel="0" collapsed="false">
      <c r="A1" s="2" t="s">
        <v>518</v>
      </c>
      <c r="B1" s="2"/>
      <c r="C1" s="2"/>
      <c r="D1" s="2"/>
    </row>
    <row r="2" customFormat="false" ht="15" hidden="false" customHeight="false" outlineLevel="0" collapsed="false">
      <c r="A2" s="3"/>
      <c r="B2" s="3"/>
      <c r="C2" s="3"/>
      <c r="D2" s="3"/>
    </row>
    <row r="3" customFormat="false" ht="6" hidden="false" customHeight="true" outlineLevel="0" collapsed="false">
      <c r="A3" s="3" t="s">
        <v>519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13" t="s">
        <v>45</v>
      </c>
      <c r="B5" s="13" t="s">
        <v>520</v>
      </c>
      <c r="C5" s="13" t="s">
        <v>521</v>
      </c>
    </row>
    <row r="6" customFormat="false" ht="15" hidden="false" customHeight="false" outlineLevel="0" collapsed="false">
      <c r="A6" s="1" t="s">
        <v>507</v>
      </c>
      <c r="B6" s="1" t="n">
        <v>2788356</v>
      </c>
      <c r="C6" s="1" t="n">
        <v>47390742</v>
      </c>
    </row>
    <row r="7" customFormat="false" ht="15" hidden="false" customHeight="false" outlineLevel="0" collapsed="false">
      <c r="A7" s="1" t="s">
        <v>508</v>
      </c>
      <c r="B7" s="1" t="n">
        <v>2869346</v>
      </c>
      <c r="C7" s="1" t="n">
        <v>50260088</v>
      </c>
    </row>
    <row r="8" customFormat="false" ht="15" hidden="false" customHeight="false" outlineLevel="0" collapsed="false">
      <c r="A8" s="1" t="s">
        <v>509</v>
      </c>
      <c r="B8" s="1" t="n">
        <v>2950336</v>
      </c>
      <c r="C8" s="1" t="n">
        <v>53210424</v>
      </c>
    </row>
    <row r="9" customFormat="false" ht="15" hidden="false" customHeight="false" outlineLevel="0" collapsed="false">
      <c r="A9" s="1" t="s">
        <v>477</v>
      </c>
      <c r="B9" s="1" t="n">
        <v>3031327</v>
      </c>
      <c r="C9" s="1" t="n">
        <v>56241751</v>
      </c>
    </row>
    <row r="10" customFormat="false" ht="15" hidden="false" customHeight="false" outlineLevel="0" collapsed="false">
      <c r="A10" s="1" t="s">
        <v>510</v>
      </c>
      <c r="B10" s="1" t="n">
        <v>3112317</v>
      </c>
      <c r="C10" s="1" t="n">
        <v>59354068</v>
      </c>
    </row>
    <row r="11" customFormat="false" ht="15" hidden="false" customHeight="false" outlineLevel="0" collapsed="false">
      <c r="A11" s="1" t="s">
        <v>511</v>
      </c>
      <c r="B11" s="1" t="n">
        <v>3193308</v>
      </c>
      <c r="C11" s="1" t="n">
        <v>62547376</v>
      </c>
    </row>
    <row r="12" customFormat="false" ht="15" hidden="false" customHeight="false" outlineLevel="0" collapsed="false">
      <c r="A12" s="1" t="s">
        <v>512</v>
      </c>
      <c r="B12" s="1" t="n">
        <v>3274298</v>
      </c>
      <c r="C12" s="1" t="n">
        <v>65821674</v>
      </c>
    </row>
    <row r="13" customFormat="false" ht="15" hidden="false" customHeight="false" outlineLevel="0" collapsed="false">
      <c r="A13" s="1" t="s">
        <v>513</v>
      </c>
      <c r="B13" s="1" t="n">
        <v>3355289</v>
      </c>
      <c r="C13" s="1" t="n">
        <v>69176963</v>
      </c>
    </row>
    <row r="14" customFormat="false" ht="15" hidden="false" customHeight="false" outlineLevel="0" collapsed="false">
      <c r="A14" s="1" t="s">
        <v>514</v>
      </c>
      <c r="B14" s="1" t="n">
        <v>3436279</v>
      </c>
      <c r="C14" s="1" t="n">
        <v>72613242</v>
      </c>
    </row>
    <row r="15" customFormat="false" ht="15" hidden="false" customHeight="false" outlineLevel="0" collapsed="false">
      <c r="A15" s="1" t="s">
        <v>515</v>
      </c>
      <c r="B15" s="1" t="n">
        <v>3517269</v>
      </c>
      <c r="C15" s="1" t="n">
        <v>76130511</v>
      </c>
    </row>
    <row r="16" customFormat="false" ht="15" hidden="false" customHeight="false" outlineLevel="0" collapsed="false">
      <c r="A16" s="1" t="s">
        <v>516</v>
      </c>
      <c r="B16" s="1" t="n">
        <v>3598260</v>
      </c>
      <c r="C16" s="1" t="n">
        <v>79728771</v>
      </c>
    </row>
    <row r="17" customFormat="false" ht="15" hidden="false" customHeight="false" outlineLevel="0" collapsed="false">
      <c r="A17" s="1" t="s">
        <v>517</v>
      </c>
      <c r="B17" s="1" t="n">
        <v>3679250</v>
      </c>
      <c r="C17" s="1" t="n">
        <v>83408021</v>
      </c>
    </row>
  </sheetData>
  <mergeCells count="3">
    <mergeCell ref="A1:D1"/>
    <mergeCell ref="A2:D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5"/>
    <col collapsed="false" customWidth="true" hidden="false" outlineLevel="0" max="3" min="3" style="1" width="13"/>
    <col collapsed="false" customWidth="true" hidden="false" outlineLevel="0" max="4" min="4" style="1" width="17"/>
  </cols>
  <sheetData>
    <row r="1" customFormat="false" ht="25.5" hidden="false" customHeight="true" outlineLevel="0" collapsed="false">
      <c r="A1" s="2" t="s">
        <v>522</v>
      </c>
      <c r="B1" s="2"/>
      <c r="C1" s="2"/>
      <c r="D1" s="2"/>
    </row>
    <row r="2" customFormat="false" ht="15" hidden="false" customHeight="false" outlineLevel="0" collapsed="false">
      <c r="A2" s="3"/>
      <c r="B2" s="3"/>
      <c r="C2" s="3"/>
      <c r="D2" s="3"/>
    </row>
    <row r="3" customFormat="false" ht="6" hidden="false" customHeight="true" outlineLevel="0" collapsed="false">
      <c r="A3" s="3" t="s">
        <v>523</v>
      </c>
      <c r="B3" s="3"/>
      <c r="C3" s="3"/>
      <c r="D3" s="3"/>
      <c r="E3" s="3"/>
      <c r="F3" s="3"/>
    </row>
    <row r="5" customFormat="false" ht="28.35" hidden="false" customHeight="false" outlineLevel="0" collapsed="false">
      <c r="A5" s="13" t="s">
        <v>45</v>
      </c>
      <c r="B5" s="13" t="s">
        <v>147</v>
      </c>
      <c r="C5" s="13" t="s">
        <v>148</v>
      </c>
      <c r="D5" s="13" t="s">
        <v>524</v>
      </c>
    </row>
    <row r="6" customFormat="false" ht="15" hidden="false" customHeight="false" outlineLevel="0" collapsed="false">
      <c r="A6" s="1" t="s">
        <v>507</v>
      </c>
      <c r="B6" s="1" t="s">
        <v>160</v>
      </c>
      <c r="C6" s="1" t="s">
        <v>156</v>
      </c>
      <c r="D6" s="1" t="n">
        <v>737971</v>
      </c>
    </row>
    <row r="7" customFormat="false" ht="15" hidden="false" customHeight="false" outlineLevel="0" collapsed="false">
      <c r="A7" s="1" t="s">
        <v>507</v>
      </c>
      <c r="B7" s="1" t="s">
        <v>162</v>
      </c>
      <c r="C7" s="1" t="s">
        <v>156</v>
      </c>
      <c r="D7" s="1" t="n">
        <v>325561</v>
      </c>
    </row>
    <row r="8" customFormat="false" ht="15" hidden="false" customHeight="false" outlineLevel="0" collapsed="false">
      <c r="A8" s="1" t="s">
        <v>507</v>
      </c>
      <c r="B8" s="1" t="s">
        <v>155</v>
      </c>
      <c r="C8" s="1" t="s">
        <v>156</v>
      </c>
      <c r="D8" s="1" t="n">
        <v>1327786</v>
      </c>
    </row>
    <row r="9" customFormat="false" ht="15" hidden="false" customHeight="false" outlineLevel="0" collapsed="false">
      <c r="A9" s="1" t="s">
        <v>507</v>
      </c>
      <c r="B9" s="1" t="s">
        <v>170</v>
      </c>
      <c r="C9" s="1" t="s">
        <v>168</v>
      </c>
      <c r="D9" s="1" t="n">
        <v>204981</v>
      </c>
    </row>
    <row r="10" customFormat="false" ht="15" hidden="false" customHeight="false" outlineLevel="0" collapsed="false">
      <c r="A10" s="1" t="s">
        <v>507</v>
      </c>
      <c r="B10" s="1" t="s">
        <v>164</v>
      </c>
      <c r="C10" s="1" t="s">
        <v>156</v>
      </c>
      <c r="D10" s="1" t="n">
        <v>260630</v>
      </c>
    </row>
    <row r="11" customFormat="false" ht="15" hidden="false" customHeight="false" outlineLevel="0" collapsed="false">
      <c r="A11" s="1" t="s">
        <v>507</v>
      </c>
      <c r="B11" s="1" t="s">
        <v>167</v>
      </c>
      <c r="C11" s="1" t="s">
        <v>168</v>
      </c>
      <c r="D11" s="1" t="n">
        <v>477254</v>
      </c>
    </row>
    <row r="12" customFormat="false" ht="15" hidden="false" customHeight="false" outlineLevel="0" collapsed="false">
      <c r="A12" s="1" t="s">
        <v>508</v>
      </c>
      <c r="B12" s="1" t="s">
        <v>160</v>
      </c>
      <c r="C12" s="1" t="s">
        <v>156</v>
      </c>
      <c r="D12" s="1" t="n">
        <v>743359</v>
      </c>
    </row>
    <row r="13" customFormat="false" ht="15" hidden="false" customHeight="false" outlineLevel="0" collapsed="false">
      <c r="A13" s="1" t="s">
        <v>508</v>
      </c>
      <c r="B13" s="1" t="s">
        <v>162</v>
      </c>
      <c r="C13" s="1" t="s">
        <v>156</v>
      </c>
      <c r="D13" s="1" t="n">
        <v>327938</v>
      </c>
    </row>
    <row r="14" customFormat="false" ht="15" hidden="false" customHeight="false" outlineLevel="0" collapsed="false">
      <c r="A14" s="1" t="s">
        <v>508</v>
      </c>
      <c r="B14" s="1" t="s">
        <v>155</v>
      </c>
      <c r="C14" s="1" t="s">
        <v>156</v>
      </c>
      <c r="D14" s="1" t="n">
        <v>1337479</v>
      </c>
    </row>
    <row r="15" customFormat="false" ht="15" hidden="false" customHeight="false" outlineLevel="0" collapsed="false">
      <c r="A15" s="1" t="s">
        <v>508</v>
      </c>
      <c r="B15" s="1" t="s">
        <v>170</v>
      </c>
      <c r="C15" s="1" t="s">
        <v>168</v>
      </c>
      <c r="D15" s="1" t="n">
        <v>206478</v>
      </c>
    </row>
    <row r="16" customFormat="false" ht="15" hidden="false" customHeight="false" outlineLevel="0" collapsed="false">
      <c r="A16" s="1" t="s">
        <v>508</v>
      </c>
      <c r="B16" s="1" t="s">
        <v>164</v>
      </c>
      <c r="C16" s="1" t="s">
        <v>156</v>
      </c>
      <c r="D16" s="1" t="n">
        <v>262532</v>
      </c>
    </row>
    <row r="17" customFormat="false" ht="15" hidden="false" customHeight="false" outlineLevel="0" collapsed="false">
      <c r="A17" s="1" t="s">
        <v>508</v>
      </c>
      <c r="B17" s="1" t="s">
        <v>167</v>
      </c>
      <c r="C17" s="1" t="s">
        <v>168</v>
      </c>
      <c r="D17" s="1" t="n">
        <v>480738</v>
      </c>
    </row>
    <row r="18" customFormat="false" ht="15" hidden="false" customHeight="false" outlineLevel="0" collapsed="false">
      <c r="A18" s="1" t="s">
        <v>509</v>
      </c>
      <c r="B18" s="1" t="s">
        <v>160</v>
      </c>
      <c r="C18" s="1" t="s">
        <v>156</v>
      </c>
      <c r="D18" s="1" t="n">
        <v>748762</v>
      </c>
    </row>
    <row r="19" customFormat="false" ht="15" hidden="false" customHeight="false" outlineLevel="0" collapsed="false">
      <c r="A19" s="1" t="s">
        <v>509</v>
      </c>
      <c r="B19" s="1" t="s">
        <v>162</v>
      </c>
      <c r="C19" s="1" t="s">
        <v>156</v>
      </c>
      <c r="D19" s="1" t="n">
        <v>330321</v>
      </c>
    </row>
    <row r="20" customFormat="false" ht="15" hidden="false" customHeight="false" outlineLevel="0" collapsed="false">
      <c r="A20" s="1" t="s">
        <v>509</v>
      </c>
      <c r="B20" s="1" t="s">
        <v>155</v>
      </c>
      <c r="C20" s="1" t="s">
        <v>156</v>
      </c>
      <c r="D20" s="1" t="n">
        <v>1347201</v>
      </c>
    </row>
    <row r="21" customFormat="false" ht="15" hidden="false" customHeight="false" outlineLevel="0" collapsed="false">
      <c r="A21" s="1" t="s">
        <v>509</v>
      </c>
      <c r="B21" s="1" t="s">
        <v>170</v>
      </c>
      <c r="C21" s="1" t="s">
        <v>168</v>
      </c>
      <c r="D21" s="1" t="n">
        <v>207979</v>
      </c>
    </row>
    <row r="22" customFormat="false" ht="15" hidden="false" customHeight="false" outlineLevel="0" collapsed="false">
      <c r="A22" s="1" t="s">
        <v>509</v>
      </c>
      <c r="B22" s="1" t="s">
        <v>164</v>
      </c>
      <c r="C22" s="1" t="s">
        <v>156</v>
      </c>
      <c r="D22" s="1" t="n">
        <v>264440</v>
      </c>
    </row>
    <row r="23" customFormat="false" ht="15" hidden="false" customHeight="false" outlineLevel="0" collapsed="false">
      <c r="A23" s="1" t="s">
        <v>509</v>
      </c>
      <c r="B23" s="1" t="s">
        <v>167</v>
      </c>
      <c r="C23" s="1" t="s">
        <v>168</v>
      </c>
      <c r="D23" s="1" t="n">
        <v>484232</v>
      </c>
    </row>
    <row r="24" customFormat="false" ht="15" hidden="false" customHeight="false" outlineLevel="0" collapsed="false">
      <c r="A24" s="1" t="s">
        <v>477</v>
      </c>
      <c r="B24" s="1" t="s">
        <v>160</v>
      </c>
      <c r="C24" s="1" t="s">
        <v>156</v>
      </c>
      <c r="D24" s="1" t="n">
        <v>754180</v>
      </c>
    </row>
    <row r="25" customFormat="false" ht="15" hidden="false" customHeight="false" outlineLevel="0" collapsed="false">
      <c r="A25" s="1" t="s">
        <v>477</v>
      </c>
      <c r="B25" s="1" t="s">
        <v>162</v>
      </c>
      <c r="C25" s="1" t="s">
        <v>156</v>
      </c>
      <c r="D25" s="1" t="n">
        <v>332712</v>
      </c>
    </row>
    <row r="26" customFormat="false" ht="15" hidden="false" customHeight="false" outlineLevel="0" collapsed="false">
      <c r="A26" s="1" t="s">
        <v>477</v>
      </c>
      <c r="B26" s="1" t="s">
        <v>155</v>
      </c>
      <c r="C26" s="1" t="s">
        <v>156</v>
      </c>
      <c r="D26" s="1" t="n">
        <v>1356949</v>
      </c>
    </row>
    <row r="27" customFormat="false" ht="15" hidden="false" customHeight="false" outlineLevel="0" collapsed="false">
      <c r="A27" s="1" t="s">
        <v>477</v>
      </c>
      <c r="B27" s="1" t="s">
        <v>170</v>
      </c>
      <c r="C27" s="1" t="s">
        <v>168</v>
      </c>
      <c r="D27" s="1" t="n">
        <v>209484</v>
      </c>
    </row>
    <row r="28" customFormat="false" ht="15" hidden="false" customHeight="false" outlineLevel="0" collapsed="false">
      <c r="A28" s="1" t="s">
        <v>477</v>
      </c>
      <c r="B28" s="1" t="s">
        <v>164</v>
      </c>
      <c r="C28" s="1" t="s">
        <v>156</v>
      </c>
      <c r="D28" s="1" t="n">
        <v>266354</v>
      </c>
    </row>
    <row r="29" customFormat="false" ht="15" hidden="false" customHeight="false" outlineLevel="0" collapsed="false">
      <c r="A29" s="1" t="s">
        <v>477</v>
      </c>
      <c r="B29" s="1" t="s">
        <v>167</v>
      </c>
      <c r="C29" s="1" t="s">
        <v>168</v>
      </c>
      <c r="D29" s="1" t="n">
        <v>487737</v>
      </c>
    </row>
    <row r="30" customFormat="false" ht="15" hidden="false" customHeight="false" outlineLevel="0" collapsed="false">
      <c r="A30" s="1" t="s">
        <v>510</v>
      </c>
      <c r="B30" s="1" t="s">
        <v>160</v>
      </c>
      <c r="C30" s="1" t="s">
        <v>156</v>
      </c>
      <c r="D30" s="1" t="n">
        <v>759614</v>
      </c>
    </row>
    <row r="31" customFormat="false" ht="15" hidden="false" customHeight="false" outlineLevel="0" collapsed="false">
      <c r="A31" s="1" t="s">
        <v>510</v>
      </c>
      <c r="B31" s="1" t="s">
        <v>162</v>
      </c>
      <c r="C31" s="1" t="s">
        <v>156</v>
      </c>
      <c r="D31" s="1" t="n">
        <v>335109</v>
      </c>
    </row>
    <row r="32" customFormat="false" ht="15" hidden="false" customHeight="false" outlineLevel="0" collapsed="false">
      <c r="A32" s="1" t="s">
        <v>510</v>
      </c>
      <c r="B32" s="1" t="s">
        <v>155</v>
      </c>
      <c r="C32" s="1" t="s">
        <v>156</v>
      </c>
      <c r="D32" s="1" t="n">
        <v>1366726</v>
      </c>
    </row>
    <row r="33" customFormat="false" ht="15" hidden="false" customHeight="false" outlineLevel="0" collapsed="false">
      <c r="A33" s="1" t="s">
        <v>510</v>
      </c>
      <c r="B33" s="1" t="s">
        <v>170</v>
      </c>
      <c r="C33" s="1" t="s">
        <v>168</v>
      </c>
      <c r="D33" s="1" t="n">
        <v>210993</v>
      </c>
    </row>
    <row r="34" customFormat="false" ht="15" hidden="false" customHeight="false" outlineLevel="0" collapsed="false">
      <c r="A34" s="1" t="s">
        <v>510</v>
      </c>
      <c r="B34" s="1" t="s">
        <v>164</v>
      </c>
      <c r="C34" s="1" t="s">
        <v>156</v>
      </c>
      <c r="D34" s="1" t="n">
        <v>268273</v>
      </c>
    </row>
    <row r="35" customFormat="false" ht="15" hidden="false" customHeight="false" outlineLevel="0" collapsed="false">
      <c r="A35" s="1" t="s">
        <v>510</v>
      </c>
      <c r="B35" s="1" t="s">
        <v>167</v>
      </c>
      <c r="C35" s="1" t="s">
        <v>168</v>
      </c>
      <c r="D35" s="1" t="n">
        <v>491251</v>
      </c>
    </row>
    <row r="36" customFormat="false" ht="15" hidden="false" customHeight="false" outlineLevel="0" collapsed="false">
      <c r="A36" s="1" t="s">
        <v>511</v>
      </c>
      <c r="B36" s="1" t="s">
        <v>160</v>
      </c>
      <c r="C36" s="1" t="s">
        <v>156</v>
      </c>
      <c r="D36" s="1" t="n">
        <v>765063</v>
      </c>
    </row>
    <row r="37" customFormat="false" ht="15" hidden="false" customHeight="false" outlineLevel="0" collapsed="false">
      <c r="A37" s="1" t="s">
        <v>511</v>
      </c>
      <c r="B37" s="1" t="s">
        <v>162</v>
      </c>
      <c r="C37" s="1" t="s">
        <v>156</v>
      </c>
      <c r="D37" s="1" t="n">
        <v>337513</v>
      </c>
    </row>
    <row r="38" customFormat="false" ht="15" hidden="false" customHeight="false" outlineLevel="0" collapsed="false">
      <c r="A38" s="1" t="s">
        <v>511</v>
      </c>
      <c r="B38" s="1" t="s">
        <v>155</v>
      </c>
      <c r="C38" s="1" t="s">
        <v>156</v>
      </c>
      <c r="D38" s="1" t="n">
        <v>1376531</v>
      </c>
    </row>
    <row r="39" customFormat="false" ht="15" hidden="false" customHeight="false" outlineLevel="0" collapsed="false">
      <c r="A39" s="1" t="s">
        <v>511</v>
      </c>
      <c r="B39" s="1" t="s">
        <v>170</v>
      </c>
      <c r="C39" s="1" t="s">
        <v>168</v>
      </c>
      <c r="D39" s="1" t="n">
        <v>212506</v>
      </c>
    </row>
    <row r="40" customFormat="false" ht="15" hidden="false" customHeight="false" outlineLevel="0" collapsed="false">
      <c r="A40" s="1" t="s">
        <v>511</v>
      </c>
      <c r="B40" s="1" t="s">
        <v>164</v>
      </c>
      <c r="C40" s="1" t="s">
        <v>156</v>
      </c>
      <c r="D40" s="1" t="n">
        <v>270198</v>
      </c>
    </row>
    <row r="41" customFormat="false" ht="15" hidden="false" customHeight="false" outlineLevel="0" collapsed="false">
      <c r="A41" s="1" t="s">
        <v>511</v>
      </c>
      <c r="B41" s="1" t="s">
        <v>167</v>
      </c>
      <c r="C41" s="1" t="s">
        <v>168</v>
      </c>
      <c r="D41" s="1" t="n">
        <v>494775</v>
      </c>
    </row>
    <row r="42" customFormat="false" ht="15" hidden="false" customHeight="false" outlineLevel="0" collapsed="false">
      <c r="A42" s="1" t="s">
        <v>512</v>
      </c>
      <c r="B42" s="1" t="s">
        <v>160</v>
      </c>
      <c r="C42" s="1" t="s">
        <v>156</v>
      </c>
      <c r="D42" s="1" t="n">
        <v>770528</v>
      </c>
    </row>
    <row r="43" customFormat="false" ht="15" hidden="false" customHeight="false" outlineLevel="0" collapsed="false">
      <c r="A43" s="1" t="s">
        <v>512</v>
      </c>
      <c r="B43" s="1" t="s">
        <v>162</v>
      </c>
      <c r="C43" s="1" t="s">
        <v>156</v>
      </c>
      <c r="D43" s="1" t="n">
        <v>339924</v>
      </c>
    </row>
    <row r="44" customFormat="false" ht="15" hidden="false" customHeight="false" outlineLevel="0" collapsed="false">
      <c r="A44" s="1" t="s">
        <v>512</v>
      </c>
      <c r="B44" s="1" t="s">
        <v>155</v>
      </c>
      <c r="C44" s="1" t="s">
        <v>156</v>
      </c>
      <c r="D44" s="1" t="n">
        <v>1386363</v>
      </c>
    </row>
    <row r="45" customFormat="false" ht="15" hidden="false" customHeight="false" outlineLevel="0" collapsed="false">
      <c r="A45" s="1" t="s">
        <v>512</v>
      </c>
      <c r="B45" s="1" t="s">
        <v>170</v>
      </c>
      <c r="C45" s="1" t="s">
        <v>168</v>
      </c>
      <c r="D45" s="1" t="n">
        <v>214024</v>
      </c>
    </row>
    <row r="46" customFormat="false" ht="15" hidden="false" customHeight="false" outlineLevel="0" collapsed="false">
      <c r="A46" s="1" t="s">
        <v>512</v>
      </c>
      <c r="B46" s="1" t="s">
        <v>164</v>
      </c>
      <c r="C46" s="1" t="s">
        <v>156</v>
      </c>
      <c r="D46" s="1" t="n">
        <v>272128</v>
      </c>
    </row>
    <row r="47" customFormat="false" ht="15" hidden="false" customHeight="false" outlineLevel="0" collapsed="false">
      <c r="A47" s="1" t="s">
        <v>512</v>
      </c>
      <c r="B47" s="1" t="s">
        <v>167</v>
      </c>
      <c r="C47" s="1" t="s">
        <v>168</v>
      </c>
      <c r="D47" s="1" t="n">
        <v>498309</v>
      </c>
    </row>
    <row r="48" customFormat="false" ht="15" hidden="false" customHeight="false" outlineLevel="0" collapsed="false">
      <c r="A48" s="1" t="s">
        <v>513</v>
      </c>
      <c r="B48" s="1" t="s">
        <v>160</v>
      </c>
      <c r="C48" s="1" t="s">
        <v>156</v>
      </c>
      <c r="D48" s="1" t="n">
        <v>776009</v>
      </c>
    </row>
    <row r="49" customFormat="false" ht="15" hidden="false" customHeight="false" outlineLevel="0" collapsed="false">
      <c r="A49" s="1" t="s">
        <v>513</v>
      </c>
      <c r="B49" s="1" t="s">
        <v>162</v>
      </c>
      <c r="C49" s="1" t="s">
        <v>156</v>
      </c>
      <c r="D49" s="1" t="n">
        <v>342342</v>
      </c>
    </row>
    <row r="50" customFormat="false" ht="15" hidden="false" customHeight="false" outlineLevel="0" collapsed="false">
      <c r="A50" s="1" t="s">
        <v>513</v>
      </c>
      <c r="B50" s="1" t="s">
        <v>155</v>
      </c>
      <c r="C50" s="1" t="s">
        <v>156</v>
      </c>
      <c r="D50" s="1" t="n">
        <v>1396224</v>
      </c>
    </row>
    <row r="51" customFormat="false" ht="15" hidden="false" customHeight="false" outlineLevel="0" collapsed="false">
      <c r="A51" s="1" t="s">
        <v>513</v>
      </c>
      <c r="B51" s="1" t="s">
        <v>170</v>
      </c>
      <c r="C51" s="1" t="s">
        <v>168</v>
      </c>
      <c r="D51" s="1" t="n">
        <v>215547</v>
      </c>
    </row>
    <row r="52" customFormat="false" ht="15" hidden="false" customHeight="false" outlineLevel="0" collapsed="false">
      <c r="A52" s="1" t="s">
        <v>513</v>
      </c>
      <c r="B52" s="1" t="s">
        <v>164</v>
      </c>
      <c r="C52" s="1" t="s">
        <v>156</v>
      </c>
      <c r="D52" s="1" t="n">
        <v>274063</v>
      </c>
    </row>
    <row r="53" customFormat="false" ht="15" hidden="false" customHeight="false" outlineLevel="0" collapsed="false">
      <c r="A53" s="1" t="s">
        <v>513</v>
      </c>
      <c r="B53" s="1" t="s">
        <v>167</v>
      </c>
      <c r="C53" s="1" t="s">
        <v>168</v>
      </c>
      <c r="D53" s="1" t="n">
        <v>501853</v>
      </c>
    </row>
    <row r="54" customFormat="false" ht="15" hidden="false" customHeight="false" outlineLevel="0" collapsed="false">
      <c r="A54" s="1" t="s">
        <v>514</v>
      </c>
      <c r="B54" s="1" t="s">
        <v>160</v>
      </c>
      <c r="C54" s="1" t="s">
        <v>156</v>
      </c>
      <c r="D54" s="1" t="n">
        <v>781506</v>
      </c>
    </row>
    <row r="55" customFormat="false" ht="15" hidden="false" customHeight="false" outlineLevel="0" collapsed="false">
      <c r="A55" s="1" t="s">
        <v>514</v>
      </c>
      <c r="B55" s="1" t="s">
        <v>162</v>
      </c>
      <c r="C55" s="1" t="s">
        <v>156</v>
      </c>
      <c r="D55" s="1" t="n">
        <v>344767</v>
      </c>
    </row>
    <row r="56" customFormat="false" ht="15" hidden="false" customHeight="false" outlineLevel="0" collapsed="false">
      <c r="A56" s="1" t="s">
        <v>514</v>
      </c>
      <c r="B56" s="1" t="s">
        <v>155</v>
      </c>
      <c r="C56" s="1" t="s">
        <v>156</v>
      </c>
      <c r="D56" s="1" t="n">
        <v>1406114</v>
      </c>
    </row>
    <row r="57" customFormat="false" ht="15" hidden="false" customHeight="false" outlineLevel="0" collapsed="false">
      <c r="A57" s="1" t="s">
        <v>514</v>
      </c>
      <c r="B57" s="1" t="s">
        <v>170</v>
      </c>
      <c r="C57" s="1" t="s">
        <v>168</v>
      </c>
      <c r="D57" s="1" t="n">
        <v>217074</v>
      </c>
    </row>
    <row r="58" customFormat="false" ht="15" hidden="false" customHeight="false" outlineLevel="0" collapsed="false">
      <c r="A58" s="1" t="s">
        <v>514</v>
      </c>
      <c r="B58" s="1" t="s">
        <v>164</v>
      </c>
      <c r="C58" s="1" t="s">
        <v>156</v>
      </c>
      <c r="D58" s="1" t="n">
        <v>276005</v>
      </c>
    </row>
    <row r="59" customFormat="false" ht="15" hidden="false" customHeight="false" outlineLevel="0" collapsed="false">
      <c r="A59" s="1" t="s">
        <v>514</v>
      </c>
      <c r="B59" s="1" t="s">
        <v>167</v>
      </c>
      <c r="C59" s="1" t="s">
        <v>168</v>
      </c>
      <c r="D59" s="1" t="n">
        <v>505408</v>
      </c>
    </row>
    <row r="60" customFormat="false" ht="15" hidden="false" customHeight="false" outlineLevel="0" collapsed="false">
      <c r="A60" s="1" t="s">
        <v>515</v>
      </c>
      <c r="B60" s="1" t="s">
        <v>160</v>
      </c>
      <c r="C60" s="1" t="s">
        <v>156</v>
      </c>
      <c r="D60" s="1" t="n">
        <v>787018</v>
      </c>
    </row>
    <row r="61" customFormat="false" ht="15" hidden="false" customHeight="false" outlineLevel="0" collapsed="false">
      <c r="A61" s="1" t="s">
        <v>515</v>
      </c>
      <c r="B61" s="1" t="s">
        <v>162</v>
      </c>
      <c r="C61" s="1" t="s">
        <v>156</v>
      </c>
      <c r="D61" s="1" t="n">
        <v>347198</v>
      </c>
    </row>
    <row r="62" customFormat="false" ht="15" hidden="false" customHeight="false" outlineLevel="0" collapsed="false">
      <c r="A62" s="1" t="s">
        <v>515</v>
      </c>
      <c r="B62" s="1" t="s">
        <v>155</v>
      </c>
      <c r="C62" s="1" t="s">
        <v>156</v>
      </c>
      <c r="D62" s="1" t="n">
        <v>1416033</v>
      </c>
    </row>
    <row r="63" customFormat="false" ht="15" hidden="false" customHeight="false" outlineLevel="0" collapsed="false">
      <c r="A63" s="1" t="s">
        <v>515</v>
      </c>
      <c r="B63" s="1" t="s">
        <v>170</v>
      </c>
      <c r="C63" s="1" t="s">
        <v>168</v>
      </c>
      <c r="D63" s="1" t="n">
        <v>218605</v>
      </c>
    </row>
    <row r="64" customFormat="false" ht="15" hidden="false" customHeight="false" outlineLevel="0" collapsed="false">
      <c r="A64" s="1" t="s">
        <v>515</v>
      </c>
      <c r="B64" s="1" t="s">
        <v>164</v>
      </c>
      <c r="C64" s="1" t="s">
        <v>156</v>
      </c>
      <c r="D64" s="1" t="n">
        <v>277951</v>
      </c>
    </row>
    <row r="65" customFormat="false" ht="15" hidden="false" customHeight="false" outlineLevel="0" collapsed="false">
      <c r="A65" s="1" t="s">
        <v>515</v>
      </c>
      <c r="B65" s="1" t="s">
        <v>167</v>
      </c>
      <c r="C65" s="1" t="s">
        <v>168</v>
      </c>
      <c r="D65" s="1" t="n">
        <v>508973</v>
      </c>
    </row>
    <row r="66" customFormat="false" ht="15" hidden="false" customHeight="false" outlineLevel="0" collapsed="false">
      <c r="A66" s="1" t="s">
        <v>516</v>
      </c>
      <c r="B66" s="1" t="s">
        <v>160</v>
      </c>
      <c r="C66" s="1" t="s">
        <v>156</v>
      </c>
      <c r="D66" s="1" t="n">
        <v>792547</v>
      </c>
    </row>
    <row r="67" customFormat="false" ht="15" hidden="false" customHeight="false" outlineLevel="0" collapsed="false">
      <c r="A67" s="1" t="s">
        <v>516</v>
      </c>
      <c r="B67" s="1" t="s">
        <v>162</v>
      </c>
      <c r="C67" s="1" t="s">
        <v>156</v>
      </c>
      <c r="D67" s="1" t="n">
        <v>349637</v>
      </c>
    </row>
    <row r="68" customFormat="false" ht="15" hidden="false" customHeight="false" outlineLevel="0" collapsed="false">
      <c r="A68" s="1" t="s">
        <v>516</v>
      </c>
      <c r="B68" s="1" t="s">
        <v>155</v>
      </c>
      <c r="C68" s="1" t="s">
        <v>156</v>
      </c>
      <c r="D68" s="1" t="n">
        <v>1425980</v>
      </c>
    </row>
    <row r="69" customFormat="false" ht="15" hidden="false" customHeight="false" outlineLevel="0" collapsed="false">
      <c r="A69" s="1" t="s">
        <v>516</v>
      </c>
      <c r="B69" s="1" t="s">
        <v>170</v>
      </c>
      <c r="C69" s="1" t="s">
        <v>168</v>
      </c>
      <c r="D69" s="1" t="n">
        <v>220140</v>
      </c>
    </row>
    <row r="70" customFormat="false" ht="15" hidden="false" customHeight="false" outlineLevel="0" collapsed="false">
      <c r="A70" s="1" t="s">
        <v>516</v>
      </c>
      <c r="B70" s="1" t="s">
        <v>164</v>
      </c>
      <c r="C70" s="1" t="s">
        <v>156</v>
      </c>
      <c r="D70" s="1" t="n">
        <v>279904</v>
      </c>
    </row>
    <row r="71" customFormat="false" ht="15" hidden="false" customHeight="false" outlineLevel="0" collapsed="false">
      <c r="A71" s="1" t="s">
        <v>516</v>
      </c>
      <c r="B71" s="1" t="s">
        <v>167</v>
      </c>
      <c r="C71" s="1" t="s">
        <v>168</v>
      </c>
      <c r="D71" s="1" t="n">
        <v>512549</v>
      </c>
    </row>
    <row r="72" customFormat="false" ht="15" hidden="false" customHeight="false" outlineLevel="0" collapsed="false">
      <c r="A72" s="1" t="s">
        <v>517</v>
      </c>
      <c r="B72" s="1" t="s">
        <v>160</v>
      </c>
      <c r="C72" s="1" t="s">
        <v>156</v>
      </c>
      <c r="D72" s="1" t="n">
        <v>798092</v>
      </c>
    </row>
    <row r="73" customFormat="false" ht="15" hidden="false" customHeight="false" outlineLevel="0" collapsed="false">
      <c r="A73" s="1" t="s">
        <v>517</v>
      </c>
      <c r="B73" s="1" t="s">
        <v>162</v>
      </c>
      <c r="C73" s="1" t="s">
        <v>156</v>
      </c>
      <c r="D73" s="1" t="n">
        <v>352084</v>
      </c>
    </row>
    <row r="74" customFormat="false" ht="15" hidden="false" customHeight="false" outlineLevel="0" collapsed="false">
      <c r="A74" s="1" t="s">
        <v>517</v>
      </c>
      <c r="B74" s="1" t="s">
        <v>155</v>
      </c>
      <c r="C74" s="1" t="s">
        <v>156</v>
      </c>
      <c r="D74" s="1" t="n">
        <v>1435957</v>
      </c>
    </row>
    <row r="75" customFormat="false" ht="15" hidden="false" customHeight="false" outlineLevel="0" collapsed="false">
      <c r="A75" s="1" t="s">
        <v>517</v>
      </c>
      <c r="B75" s="1" t="s">
        <v>170</v>
      </c>
      <c r="C75" s="1" t="s">
        <v>168</v>
      </c>
      <c r="D75" s="1" t="n">
        <v>221681</v>
      </c>
    </row>
    <row r="76" customFormat="false" ht="15" hidden="false" customHeight="false" outlineLevel="0" collapsed="false">
      <c r="A76" s="1" t="s">
        <v>517</v>
      </c>
      <c r="B76" s="1" t="s">
        <v>164</v>
      </c>
      <c r="C76" s="1" t="s">
        <v>156</v>
      </c>
      <c r="D76" s="1" t="n">
        <v>281862</v>
      </c>
    </row>
    <row r="77" customFormat="false" ht="15" hidden="false" customHeight="false" outlineLevel="0" collapsed="false">
      <c r="A77" s="1" t="s">
        <v>517</v>
      </c>
      <c r="B77" s="1" t="s">
        <v>167</v>
      </c>
      <c r="C77" s="1" t="s">
        <v>168</v>
      </c>
      <c r="D77" s="1" t="n">
        <v>516135</v>
      </c>
    </row>
  </sheetData>
  <mergeCells count="3">
    <mergeCell ref="A1:D1"/>
    <mergeCell ref="A2:D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21"/>
    <col collapsed="false" customWidth="true" hidden="false" outlineLevel="0" max="3" min="3" style="1" width="19"/>
    <col collapsed="false" customWidth="true" hidden="false" outlineLevel="0" max="4" min="4" style="1" width="21"/>
    <col collapsed="false" customWidth="true" hidden="false" outlineLevel="0" max="5" min="5" style="1" width="17"/>
    <col collapsed="false" customWidth="true" hidden="false" outlineLevel="0" max="6" min="6" style="1" width="10"/>
    <col collapsed="false" customWidth="true" hidden="false" outlineLevel="0" max="7" min="7" style="1" width="38"/>
  </cols>
  <sheetData>
    <row r="1" customFormat="false" ht="25.5" hidden="false" customHeight="true" outlineLevel="0" collapsed="false">
      <c r="A1" s="2" t="s">
        <v>525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6" hidden="false" customHeight="true" outlineLevel="0" collapsed="false">
      <c r="A3" s="3" t="s">
        <v>526</v>
      </c>
      <c r="B3" s="3"/>
      <c r="C3" s="3"/>
      <c r="D3" s="3"/>
      <c r="E3" s="3"/>
      <c r="F3" s="3"/>
    </row>
    <row r="5" customFormat="false" ht="28.35" hidden="false" customHeight="false" outlineLevel="0" collapsed="false">
      <c r="A5" s="13" t="s">
        <v>478</v>
      </c>
      <c r="B5" s="13" t="s">
        <v>527</v>
      </c>
      <c r="C5" s="13" t="s">
        <v>528</v>
      </c>
      <c r="D5" s="13" t="s">
        <v>529</v>
      </c>
      <c r="E5" s="13" t="s">
        <v>530</v>
      </c>
      <c r="F5" s="13" t="s">
        <v>531</v>
      </c>
      <c r="G5" s="13" t="s">
        <v>532</v>
      </c>
    </row>
    <row r="6" customFormat="false" ht="15" hidden="false" customHeight="false" outlineLevel="0" collapsed="false">
      <c r="A6" s="1" t="s">
        <v>491</v>
      </c>
      <c r="B6" s="1" t="n">
        <v>0.0707041666666666</v>
      </c>
      <c r="C6" s="1" t="n">
        <v>0.1742</v>
      </c>
      <c r="D6" s="1" t="n">
        <v>610676.083333333</v>
      </c>
      <c r="E6" s="1" t="n">
        <v>100</v>
      </c>
      <c r="F6" s="14" t="s">
        <v>533</v>
      </c>
      <c r="G6" s="14" t="s">
        <v>534</v>
      </c>
    </row>
    <row r="7" customFormat="false" ht="15" hidden="false" customHeight="false" outlineLevel="0" collapsed="false">
      <c r="A7" s="1" t="s">
        <v>486</v>
      </c>
      <c r="B7" s="1" t="n">
        <v>0.0914958333333333</v>
      </c>
      <c r="C7" s="1" t="n">
        <v>0.0721</v>
      </c>
      <c r="D7" s="1" t="n">
        <v>540066.708333333</v>
      </c>
      <c r="E7" s="1" t="n">
        <v>95.2</v>
      </c>
      <c r="F7" s="14" t="s">
        <v>535</v>
      </c>
      <c r="G7" s="14" t="s">
        <v>534</v>
      </c>
    </row>
    <row r="8" customFormat="false" ht="15" hidden="false" customHeight="false" outlineLevel="0" collapsed="false">
      <c r="A8" s="1" t="s">
        <v>485</v>
      </c>
      <c r="B8" s="1" t="n">
        <v>0.0350375</v>
      </c>
      <c r="C8" s="1" t="n">
        <v>0.0904</v>
      </c>
      <c r="D8" s="1" t="n">
        <v>597434.958333333</v>
      </c>
      <c r="E8" s="1" t="n">
        <v>75.9</v>
      </c>
      <c r="F8" s="14" t="s">
        <v>535</v>
      </c>
      <c r="G8" s="14" t="s">
        <v>536</v>
      </c>
    </row>
    <row r="9" customFormat="false" ht="15" hidden="false" customHeight="false" outlineLevel="0" collapsed="false">
      <c r="A9" s="1" t="s">
        <v>492</v>
      </c>
      <c r="B9" s="1" t="n">
        <v>0.0374583333333333</v>
      </c>
      <c r="C9" s="1" t="n">
        <v>0.1396</v>
      </c>
      <c r="D9" s="1" t="n">
        <v>579308.541666667</v>
      </c>
      <c r="E9" s="1" t="n">
        <v>64.1</v>
      </c>
      <c r="F9" s="14" t="s">
        <v>537</v>
      </c>
      <c r="G9" s="14" t="s">
        <v>538</v>
      </c>
    </row>
    <row r="10" customFormat="false" ht="15" hidden="false" customHeight="false" outlineLevel="0" collapsed="false">
      <c r="A10" s="1" t="s">
        <v>493</v>
      </c>
      <c r="B10" s="1" t="n">
        <v>0.0415458333333333</v>
      </c>
      <c r="C10" s="1" t="n">
        <v>0.1354</v>
      </c>
      <c r="D10" s="1" t="n">
        <v>533311.166666667</v>
      </c>
      <c r="E10" s="1" t="n">
        <v>51.8</v>
      </c>
      <c r="F10" s="14" t="s">
        <v>537</v>
      </c>
      <c r="G10" s="14" t="s">
        <v>539</v>
      </c>
    </row>
    <row r="11" customFormat="false" ht="15" hidden="false" customHeight="false" outlineLevel="0" collapsed="false">
      <c r="A11" s="1" t="s">
        <v>483</v>
      </c>
      <c r="B11" s="1" t="n">
        <v>-0.0073</v>
      </c>
      <c r="C11" s="1" t="n">
        <v>0.0173</v>
      </c>
      <c r="D11" s="1" t="n">
        <v>604480.708333333</v>
      </c>
      <c r="E11" s="1" t="n">
        <v>21.5</v>
      </c>
      <c r="F11" s="14" t="s">
        <v>537</v>
      </c>
      <c r="G11" s="14" t="s">
        <v>540</v>
      </c>
    </row>
    <row r="12" customFormat="false" ht="15" hidden="false" customHeight="false" outlineLevel="0" collapsed="false">
      <c r="A12" s="1" t="s">
        <v>487</v>
      </c>
      <c r="B12" s="1" t="n">
        <v>0.0087583333333333</v>
      </c>
      <c r="C12" s="1" t="n">
        <v>-0.1213</v>
      </c>
      <c r="D12" s="1" t="n">
        <v>600944.916666667</v>
      </c>
      <c r="E12" s="1" t="n">
        <v>19.8</v>
      </c>
      <c r="F12" s="14" t="s">
        <v>541</v>
      </c>
      <c r="G12" s="14" t="s">
        <v>540</v>
      </c>
    </row>
    <row r="13" customFormat="false" ht="15" hidden="false" customHeight="false" outlineLevel="0" collapsed="false">
      <c r="A13" s="1" t="s">
        <v>490</v>
      </c>
      <c r="B13" s="1" t="n">
        <v>-0.0423416666666666</v>
      </c>
      <c r="C13" s="1" t="n">
        <v>-0.0182</v>
      </c>
      <c r="D13" s="1" t="n">
        <v>589408.75</v>
      </c>
      <c r="E13" s="1" t="n">
        <v>12.1</v>
      </c>
      <c r="F13" s="14" t="s">
        <v>541</v>
      </c>
      <c r="G13" s="14" t="s">
        <v>542</v>
      </c>
    </row>
    <row r="14" customFormat="false" ht="15" hidden="false" customHeight="false" outlineLevel="0" collapsed="false">
      <c r="A14" s="1" t="s">
        <v>488</v>
      </c>
      <c r="B14" s="1" t="n">
        <v>-0.102345833333333</v>
      </c>
      <c r="C14" s="1" t="n">
        <v>-0.0736</v>
      </c>
      <c r="D14" s="1" t="n">
        <v>602989</v>
      </c>
      <c r="E14" s="1" t="n">
        <v>6.3</v>
      </c>
      <c r="F14" s="14" t="s">
        <v>541</v>
      </c>
      <c r="G14" s="14" t="s">
        <v>543</v>
      </c>
    </row>
    <row r="15" customFormat="false" ht="15" hidden="false" customHeight="false" outlineLevel="0" collapsed="false">
      <c r="A15" s="1" t="s">
        <v>489</v>
      </c>
      <c r="B15" s="1" t="n">
        <v>-0.0230416666666666</v>
      </c>
      <c r="C15" s="1" t="n">
        <v>-0.0535</v>
      </c>
      <c r="D15" s="1" t="n">
        <v>548764.375</v>
      </c>
      <c r="E15" s="1" t="n">
        <v>6.1</v>
      </c>
      <c r="F15" s="14" t="s">
        <v>541</v>
      </c>
      <c r="G15" s="14" t="s">
        <v>544</v>
      </c>
    </row>
    <row r="16" customFormat="false" ht="15" hidden="false" customHeight="false" outlineLevel="0" collapsed="false">
      <c r="A16" s="1" t="s">
        <v>484</v>
      </c>
      <c r="B16" s="1" t="n">
        <v>-0.0619958333333333</v>
      </c>
      <c r="C16" s="1" t="n">
        <v>-0.077</v>
      </c>
      <c r="D16" s="1" t="n">
        <v>498725.5</v>
      </c>
      <c r="E16" s="1" t="n">
        <v>3.2</v>
      </c>
      <c r="F16" s="14" t="s">
        <v>541</v>
      </c>
      <c r="G16" s="14" t="s">
        <v>545</v>
      </c>
    </row>
    <row r="17" customFormat="false" ht="15" hidden="false" customHeight="false" outlineLevel="0" collapsed="false">
      <c r="A17" s="1" t="s">
        <v>482</v>
      </c>
      <c r="B17" s="1" t="n">
        <v>-0.0462166666666666</v>
      </c>
      <c r="C17" s="1" t="n">
        <v>-0.0316</v>
      </c>
      <c r="D17" s="1" t="n">
        <v>545629.416666667</v>
      </c>
      <c r="E17" s="1" t="n">
        <v>0</v>
      </c>
      <c r="F17" s="14" t="s">
        <v>541</v>
      </c>
      <c r="G17" s="14" t="s">
        <v>540</v>
      </c>
    </row>
  </sheetData>
  <mergeCells count="3">
    <mergeCell ref="A1:F1"/>
    <mergeCell ref="A2:F2"/>
    <mergeCell ref="A3:F3"/>
  </mergeCells>
  <conditionalFormatting sqref="E6:E17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2026-09-17T20:01:19Z</dcterms:created>
  <dc:creator>openpyxl</dc:creator>
  <dc:description/>
  <dc:language>en-US</dc:language>
  <cp:lastModifiedBy/>
  <dcterms:modified xsi:type="dcterms:W3CDTF">2026-09-17T20:01:40Z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